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lan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Guide" sheetId="5" state="visible" r:id="rId5"/>
  </sheets>
  <definedNames>
    <definedName name="_xlnm.Print_Area" localSheetId="0">'Report'!$A$1:$H$35</definedName>
    <definedName name="_xlnm.Print_Area" localSheetId="1">'Inputs'!$A$1:$F$35</definedName>
    <definedName name="_xlnm._FilterDatabase" localSheetId="2" hidden="1">'Plan'!$A$8:$L$17</definedName>
    <definedName name="_xlnm.Print_Titles" localSheetId="2">'Plan'!$1:$8</definedName>
    <definedName name="_xlnm.Print_Area" localSheetId="2">'Plan'!$A$1:$L$29</definedName>
    <definedName name="_xlnm.Print_Area" localSheetId="3">'Scenarios'!$A$1:$I$25</definedName>
    <definedName name="_xlnm.Print_Area" localSheetId="4">'Guide'!$A$1:$F$40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.0"/>
    <numFmt numFmtId="165" formatCode="yyyy-mm-dd h:mm:ss"/>
    <numFmt numFmtId="166" formatCode="dd mmm yyyy"/>
    <numFmt numFmtId="167" formatCode="0.00&quot;x&quot;"/>
    <numFmt numFmtId="168" formatCode="+0.0;-0.0;&quot;On target&quot;"/>
    <numFmt numFmtId="169" formatCode="#,##0&quot; allocated hours&quot;"/>
    <numFmt numFmtId="170" formatCode="#,##0&quot; h incl. reserve&quot;"/>
  </numFmts>
  <fonts count="18">
    <font>
      <name val="Calibri"/>
      <family val="2"/>
      <color theme="1"/>
      <sz val="11"/>
      <scheme val="minor"/>
    </font>
    <font>
      <name val="Calibri"/>
      <b val="1"/>
      <color rgb="00687581"/>
      <sz val="23"/>
    </font>
    <font>
      <name val="Calibri"/>
      <b val="1"/>
      <color rgb="0017364D"/>
      <sz val="23"/>
    </font>
    <font>
      <name val="Calibri"/>
      <color rgb="00687581"/>
      <sz val="10"/>
    </font>
    <font>
      <name val="Calibri"/>
      <b val="1"/>
      <color rgb="00687581"/>
      <sz val="11"/>
    </font>
    <font>
      <name val="Calibri"/>
      <b val="1"/>
      <color rgb="00FFFFFF"/>
      <sz val="11"/>
    </font>
    <font>
      <name val="Calibri"/>
      <b val="1"/>
      <color rgb="001755BD"/>
      <sz val="11"/>
    </font>
    <font>
      <name val="Calibri"/>
      <b val="1"/>
      <color rgb="00000000"/>
      <sz val="11"/>
    </font>
    <font>
      <name val="Calibri"/>
      <color rgb="00687581"/>
      <sz val="11"/>
    </font>
    <font>
      <name val="Calibri"/>
      <color rgb="001755BD"/>
      <sz val="11"/>
    </font>
    <font>
      <name val="Calibri"/>
      <color rgb="0070429A"/>
      <sz val="11"/>
    </font>
    <font>
      <name val="Calibri"/>
      <color rgb="00000000"/>
      <sz val="11"/>
    </font>
    <font>
      <name val="Calibri"/>
      <b val="1"/>
      <color rgb="0070429A"/>
      <sz val="11"/>
    </font>
    <font>
      <name val="Calibri"/>
      <b val="1"/>
      <color rgb="00687581"/>
      <sz val="10"/>
    </font>
    <font>
      <name val="Calibri"/>
      <b val="1"/>
      <color rgb="00FFFFFF"/>
      <sz val="10"/>
    </font>
    <font>
      <name val="Calibri"/>
      <b val="1"/>
      <color rgb="00000000"/>
      <sz val="27"/>
    </font>
    <font>
      <name val="Calibri"/>
      <color rgb="00000000"/>
      <sz val="10"/>
    </font>
    <font>
      <name val="Calibri"/>
      <color rgb="00267444"/>
      <sz val="11"/>
    </font>
  </fonts>
  <fills count="7">
    <fill>
      <patternFill/>
    </fill>
    <fill>
      <patternFill patternType="gray125"/>
    </fill>
    <fill>
      <patternFill patternType="solid">
        <fgColor rgb="0017364D"/>
      </patternFill>
    </fill>
    <fill>
      <patternFill patternType="solid">
        <fgColor rgb="00EDF4FF"/>
      </patternFill>
    </fill>
    <fill>
      <patternFill patternType="solid">
        <fgColor rgb="00F3F5F7"/>
      </patternFill>
    </fill>
    <fill>
      <patternFill patternType="solid">
        <fgColor rgb="00DDEFF0"/>
      </patternFill>
    </fill>
    <fill>
      <patternFill patternType="solid">
        <fgColor rgb="00FFF0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center" vertical="center" wrapText="1"/>
    </xf>
    <xf numFmtId="164" fontId="15" fillId="5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13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164" fontId="11" fillId="0" borderId="0" applyAlignment="1" pivotButton="0" quotePrefix="0" xfId="0">
      <alignment horizontal="center" vertical="center" wrapText="1"/>
    </xf>
    <xf numFmtId="166" fontId="11" fillId="0" borderId="0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 wrapText="1"/>
    </xf>
    <xf numFmtId="168" fontId="8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8" fontId="11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9" fontId="7" fillId="0" borderId="0" applyAlignment="1" pivotButton="0" quotePrefix="0" xfId="0">
      <alignment horizontal="left" vertical="center" wrapText="1"/>
    </xf>
    <xf numFmtId="170" fontId="11" fillId="0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6" fillId="3" borderId="0" applyAlignment="1" applyProtection="1" pivotButton="0" quotePrefix="0" xfId="0">
      <alignment horizontal="center" vertical="center" wrapText="1"/>
      <protection locked="0" hidden="0"/>
    </xf>
    <xf numFmtId="0" fontId="7" fillId="4" borderId="0" applyAlignment="1" pivotButton="0" quotePrefix="0" xfId="0">
      <alignment horizontal="center" vertical="center" wrapText="1"/>
    </xf>
    <xf numFmtId="0" fontId="9" fillId="3" borderId="0" applyAlignment="1" applyProtection="1" pivotButton="0" quotePrefix="0" xfId="0">
      <alignment horizontal="center" vertical="center" wrapText="1"/>
      <protection locked="0" hidden="0"/>
    </xf>
    <xf numFmtId="9" fontId="9" fillId="3" borderId="0" applyAlignment="1" applyProtection="1" pivotButton="0" quotePrefix="0" xfId="0">
      <alignment horizontal="center" vertical="center" wrapText="1"/>
      <protection locked="0" hidden="0"/>
    </xf>
    <xf numFmtId="164" fontId="9" fillId="3" borderId="0" applyAlignment="1" applyProtection="1" pivotButton="0" quotePrefix="0" xfId="0">
      <alignment horizontal="center" vertical="center" wrapText="1"/>
      <protection locked="0" hidden="0"/>
    </xf>
    <xf numFmtId="166" fontId="9" fillId="3" borderId="0" applyAlignment="1" applyProtection="1" pivotButton="0" quotePrefix="0" xfId="0">
      <alignment horizontal="center" vertical="center" wrapText="1"/>
      <protection locked="0" hidden="0"/>
    </xf>
    <xf numFmtId="167" fontId="9" fillId="3" borderId="0" applyAlignment="1" applyProtection="1" pivotButton="0" quotePrefix="0" xfId="0">
      <alignment horizontal="center" vertical="center" wrapText="1"/>
      <protection locked="0" hidden="0"/>
    </xf>
    <xf numFmtId="0" fontId="10" fillId="0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center" vertical="center" wrapText="1"/>
    </xf>
    <xf numFmtId="164" fontId="11" fillId="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164" fontId="7" fillId="5" borderId="0" applyAlignment="1" pivotButton="0" quotePrefix="0" xfId="0">
      <alignment horizontal="center" vertical="center" wrapText="1"/>
    </xf>
    <xf numFmtId="166" fontId="7" fillId="5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0" fontId="17" fillId="5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3" fontId="7" fillId="5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3" fontId="1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F0D4"/>
        </patternFill>
      </fill>
    </dxf>
    <dxf>
      <fill>
        <patternFill patternType="solid">
          <fgColor rgb="00FCE7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Planning source</author>
  </authors>
  <commentList>
    <comment ref="C5" authorId="0" shapeId="0">
      <text>
        <t>SDV_Vehicle_Status_DAR_EN_v1_0_One_Senior_One_Junior.md, sections 20-20B: planning assumptions, not measured productivity. Changing 2 to 3 adds one experienced developer unless the junior count also changes.</t>
      </text>
    </comment>
    <comment ref="C6" authorId="0" shapeId="0">
      <text>
        <t>SDV_Vehicle_Status_DAR_EN_v1_0_One_Senior_One_Junior.md, sections 20-20B: planning assumptions, not measured productivity. Must be smaller than total developers. At least one experienced developer is required.</t>
      </text>
    </comment>
    <comment ref="C8" authorId="0" shapeId="0">
      <text>
        <t>SDV_Vehicle_Status_DAR_EN_v1_0_One_Senior_One_Junior.md, sections 20-20B: planning assumptions, not measured productivity. Nominal time; not all time becomes accepted delivery work.</t>
      </text>
    </comment>
    <comment ref="C9" authorId="0" shapeId="0">
      <text>
        <t>SDV_Vehicle_Status_DAR_EN_v1_0_One_Senior_One_Junior.md, sections 20-20B: planning assumptions, not measured productivity. Share of working time assigned to this project.</t>
      </text>
    </comment>
    <comment ref="C10" authorId="0" shapeId="0">
      <text>
        <t>SDV_Vehicle_Status_DAR_EN_v1_0_One_Senior_One_Junior.md, sections 20-20B: planning assumptions, not measured productivity. Set below 100% for part-time internship or other assignments.</t>
      </text>
    </comment>
    <comment ref="C12" authorId="0" shapeId="0">
      <text>
        <t>SDV_Vehicle_Status_DAR_EN_v1_0_One_Senior_One_Junior.md, sections 20-20B: planning assumptions, not measured productivity. 85% of allocated time. The remaining 15% covers coordination and environment/support.</t>
      </text>
    </comment>
    <comment ref="C13" authorId="0" shapeId="0">
      <text>
        <t>SDV_Vehicle_Status_DAR_EN_v1_0_One_Senior_One_Junior.md, sections 20-20B: planning assumptions, not measured productivity. 60% of allocated time; includes tests and evidence accepted after review.</t>
      </text>
    </comment>
    <comment ref="C14" authorId="0" shapeId="0">
      <text>
        <t>SDV_Vehicle_Status_DAR_EN_v1_0_One_Senior_One_Junior.md, sections 20-20B: planning assumptions, not measured productivity. Lower rate applies to the whole recovery phase, not a fixed number of weeks.</t>
      </text>
    </comment>
    <comment ref="C15" authorId="0" shapeId="0">
      <text>
        <t>SDV_Vehicle_Status_DAR_EN_v1_0_One_Senior_One_Junior.md, sections 20-20B: planning assumptions, not measured productivity. Deducted once from the experienced pool; ordinary PR review stays inside work estimates.</t>
      </text>
    </comment>
    <comment ref="C16" authorId="0" shapeId="0">
      <text>
        <t>Proposed workbook scheduling control; validate at Gate A. Caps useful parallel work. More staff do not automatically remove sequence or review limits.</t>
      </text>
    </comment>
    <comment ref="C17" authorId="0" shapeId="0">
      <text>
        <t>Proposed workbook scheduling control; validate at Gate A. Caps parallel support work. These contributor caps are proposed controls.</t>
      </text>
    </comment>
    <comment ref="C19" authorId="0" shapeId="0">
      <text>
        <t>Proposed workbook scheduling control; validate at Gate A. Illustrative start only. Replace with an approved start after access is ready.</t>
      </text>
    </comment>
    <comment ref="C20" authorId="0" shapeId="0">
      <text>
        <t>SDV_Vehicle_Status_DAR_EN_v1_0_One_Senior_One_Junior.md, sections 20-20B: planning assumptions, not measured productivity. A comparison target, not a formula override or promise.</t>
      </text>
    </comment>
    <comment ref="C21" authorId="0" shapeId="0">
      <text>
        <t>SDV_Vehicle_Status_DAR_EN_v1_0_One_Senior_One_Junior.md, sections 20-20B: planning assumptions, not measured productivity. A comparison target, not a formula override or promise.</t>
      </text>
    </comment>
    <comment ref="C22" authorId="0" shapeId="0">
      <text>
        <t>SDV_Vehicle_Status_DAR_EN_v1_0_One_Senior_One_Junior.md, sections 20-20B: planning assumptions, not measured productivity. Added after the base forecast. Does not buy extra features.</t>
      </text>
    </comment>
    <comment ref="C23" authorId="0" shapeId="0">
      <text>
        <t>Proposed workbook scheduling control; validate at Gate A. Rounds each phase upward. Use 0.5 or 1 week.</t>
      </text>
    </comment>
    <comment ref="C24" authorId="0" shapeId="0">
      <text>
        <t>Proposed workbook scheduling control; validate at Gate A. 1.00 = source workload. 1.20 models 20% more work; does not change scope.</t>
      </text>
    </comment>
  </commentList>
</comments>
</file>

<file path=xl/comments/comment2.xml><?xml version="1.0" encoding="utf-8"?>
<comments xmlns="http://schemas.openxmlformats.org/spreadsheetml/2006/main">
  <authors>
    <author>Planning source</author>
  </authors>
  <commentList>
    <comment ref="C9" authorId="0" shapeId="0">
      <text>
        <t>SDV_Vehicle_Status_DAR_EN_v1_0_One_Senior_One_Junior.md, section 20B, phase loading. P3/P4 split W5-W6 equally; total remains 476 expert + 352 support hours. Original junior-work estimate is treated as shared work; experienced developers may cover it.</t>
      </text>
    </comment>
    <comment ref="D9" authorId="0" shapeId="0">
      <text>
        <t>SDV_Vehicle_Status_DAR_EN_v1_0_One_Senior_One_Junior.md, section 20B, phase loading. P3/P4 split W5-W6 equally; total remains 476 expert + 352 support hours. Original junior-work estimate is treated as shared work; experienced developers may cover it.</t>
      </text>
    </comment>
    <comment ref="E9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F9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G9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C10" authorId="0" shapeId="0">
      <text>
        <t>SDV_Vehicle_Status_DAR_EN_v1_0_One_Senior_One_Junior.md, section 20B, phase loading. P3/P4 split W5-W6 equally; total remains 476 expert + 352 support hours. Original junior-work estimate is treated as shared work; experienced developers may cover it.</t>
      </text>
    </comment>
    <comment ref="D10" authorId="0" shapeId="0">
      <text>
        <t>SDV_Vehicle_Status_DAR_EN_v1_0_One_Senior_One_Junior.md, section 20B, phase loading. P3/P4 split W5-W6 equally; total remains 476 expert + 352 support hours. Original junior-work estimate is treated as shared work; experienced developers may cover it.</t>
      </text>
    </comment>
    <comment ref="E10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F10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G10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C11" authorId="0" shapeId="0">
      <text>
        <t>SDV_Vehicle_Status_DAR_EN_v1_0_One_Senior_One_Junior.md, section 20B, phase loading. P3/P4 split W5-W6 equally; total remains 476 expert + 352 support hours. Original junior-work estimate is treated as shared work; experienced developers may cover it.</t>
      </text>
    </comment>
    <comment ref="D11" authorId="0" shapeId="0">
      <text>
        <t>SDV_Vehicle_Status_DAR_EN_v1_0_One_Senior_One_Junior.md, section 20B, phase loading. P3/P4 split W5-W6 equally; total remains 476 expert + 352 support hours. Original junior-work estimate is treated as shared work; experienced developers may cover it.</t>
      </text>
    </comment>
    <comment ref="E11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F11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G11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C12" authorId="0" shapeId="0">
      <text>
        <t>SDV_Vehicle_Status_DAR_EN_v1_0_One_Senior_One_Junior.md, section 20B, phase loading. P3/P4 split W5-W6 equally; total remains 476 expert + 352 support hours. Original junior-work estimate is treated as shared work; experienced developers may cover it.</t>
      </text>
    </comment>
    <comment ref="D12" authorId="0" shapeId="0">
      <text>
        <t>SDV_Vehicle_Status_DAR_EN_v1_0_One_Senior_One_Junior.md, section 20B, phase loading. P3/P4 split W5-W6 equally; total remains 476 expert + 352 support hours. Original junior-work estimate is treated as shared work; experienced developers may cover it.</t>
      </text>
    </comment>
    <comment ref="E12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F12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G12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C13" authorId="0" shapeId="0">
      <text>
        <t>SDV_Vehicle_Status_DAR_EN_v1_0_One_Senior_One_Junior.md, section 20B, phase loading. P3/P4 split W5-W6 equally; total remains 476 expert + 352 support hours. Original junior-work estimate is treated as shared work; experienced developers may cover it.</t>
      </text>
    </comment>
    <comment ref="D13" authorId="0" shapeId="0">
      <text>
        <t>SDV_Vehicle_Status_DAR_EN_v1_0_One_Senior_One_Junior.md, section 20B, phase loading. P3/P4 split W5-W6 equally; total remains 476 expert + 352 support hours. Original junior-work estimate is treated as shared work; experienced developers may cover it.</t>
      </text>
    </comment>
    <comment ref="E13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F13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G13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C14" authorId="0" shapeId="0">
      <text>
        <t>SDV_Vehicle_Status_DAR_EN_v1_0_One_Senior_One_Junior.md, section 20B, phase loading. P3/P4 split W5-W6 equally; total remains 476 expert + 352 support hours. Original junior-work estimate is treated as shared work; experienced developers may cover it.</t>
      </text>
    </comment>
    <comment ref="D14" authorId="0" shapeId="0">
      <text>
        <t>SDV_Vehicle_Status_DAR_EN_v1_0_One_Senior_One_Junior.md, section 20B, phase loading. P3/P4 split W5-W6 equally; total remains 476 expert + 352 support hours. Original junior-work estimate is treated as shared work; experienced developers may cover it.</t>
      </text>
    </comment>
    <comment ref="E14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F14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G14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C15" authorId="0" shapeId="0">
      <text>
        <t>SDV_Vehicle_Status_DAR_EN_v1_0_One_Senior_One_Junior.md, section 20B, phase loading. P3/P4 split W5-W6 equally; total remains 476 expert + 352 support hours. Original junior-work estimate is treated as shared work; experienced developers may cover it.</t>
      </text>
    </comment>
    <comment ref="D15" authorId="0" shapeId="0">
      <text>
        <t>SDV_Vehicle_Status_DAR_EN_v1_0_One_Senior_One_Junior.md, section 20B, phase loading. P3/P4 split W5-W6 equally; total remains 476 expert + 352 support hours. Original junior-work estimate is treated as shared work; experienced developers may cover it.</t>
      </text>
    </comment>
    <comment ref="E15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F15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G15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C16" authorId="0" shapeId="0">
      <text>
        <t>SDV_Vehicle_Status_DAR_EN_v1_0_One_Senior_One_Junior.md, section 20B, phase loading. P3/P4 split W5-W6 equally; total remains 476 expert + 352 support hours. Original junior-work estimate is treated as shared work; experienced developers may cover it.</t>
      </text>
    </comment>
    <comment ref="D16" authorId="0" shapeId="0">
      <text>
        <t>SDV_Vehicle_Status_DAR_EN_v1_0_One_Senior_One_Junior.md, section 20B, phase loading. P3/P4 split W5-W6 equally; total remains 476 expert + 352 support hours. Original junior-work estimate is treated as shared work; experienced developers may cover it.</t>
      </text>
    </comment>
    <comment ref="E16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F16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G16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C17" authorId="0" shapeId="0">
      <text>
        <t>SDV_Vehicle_Status_DAR_EN_v1_0_One_Senior_One_Junior.md, section 20B, phase loading. P3/P4 split W5-W6 equally; total remains 476 expert + 352 support hours. Original junior-work estimate is treated as shared work; experienced developers may cover it.</t>
      </text>
    </comment>
    <comment ref="D17" authorId="0" shapeId="0">
      <text>
        <t>SDV_Vehicle_Status_DAR_EN_v1_0_One_Senior_One_Junior.md, section 20B, phase loading. P3/P4 split W5-W6 equally; total remains 476 expert + 352 support hours. Original junior-work estimate is treated as shared work; experienced developers may cover it.</t>
      </text>
    </comment>
    <comment ref="E17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F17" authorId="0" shapeId="0">
      <text>
        <t>Proposed resource-model control, not a new scope requirement. Minimum duration protects discovery/integration/testing time. Waiting is additive calendar delay before this phase.</t>
      </text>
    </comment>
    <comment ref="G17" authorId="0" shapeId="0">
      <text>
        <t>Proposed resource-model control, not a new scope requirement. Minimum duration protects discovery/integration/testing time. Waiting is additive calendar delay before this phase.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ns0:worksheet xmlns:ns0="http://schemas.openxmlformats.org/spreadsheetml/2006/main">
  <ns0:sheetPr>
    <ns0:tabColor rgb="00145F66"/>
    <ns0:outlinePr summaryBelow="1" summaryRight="0"/>
    <ns0:pageSetUpPr fitToPage="1"/>
  </ns0:sheetPr>
  <ns0:dimension ref="A1:H35"/>
  <ns0:sheetViews>
    <ns0:sheetView showGridLines="0" zoomScale="95" workbookViewId="0">
      <ns0:pane ySplit="4" topLeftCell="A5" activePane="bottomLeft" state="frozen"/>
      <ns0:selection pane="bottomLeft" activeCell="A1" sqref="A1"/>
    </ns0:sheetView>
  </ns0:sheetViews>
  <ns0:sheetFormatPr baseColWidth="8" defaultRowHeight="15"/>
  <ns0:cols>
    <ns0:col width="14" customWidth="1" min="1" max="1"/>
    <ns0:col width="14" customWidth="1" min="2" max="2"/>
    <ns0:col width="14" customWidth="1" min="3" max="3"/>
    <ns0:col width="14" customWidth="1" min="4" max="4"/>
    <ns0:col width="14" customWidth="1" min="5" max="5"/>
    <ns0:col width="14" customWidth="1" min="6" max="6"/>
    <ns0:col width="14" customWidth="1" min="7" max="7"/>
    <ns0:col width="14" customWidth="1" min="8" max="8"/>
  </ns0:cols>
  <ns0:sheetData>
    <ns0:row r="1" ht="20" customHeight="1">
      <ns0:c r="A1" s="1" t="inlineStr">
        <ns0:is>
          <ns0:t>Vehicle Status | management report</ns0:t>
        </ns0:is>
      </ns0:c>
    </ns0:row>
    <ns0:row r="2" ht="20" customHeight="1"/>
    <ns0:row r="3" ht="30" customHeight="1">
      <ns0:c r="A3" s="2" t="inlineStr">
        <ns0:is>
          <ns0:t>AAOS-first reuse MVP  /  DAR-SDV-VS-001 v1.1  /  proposal for approval</ns0:t>
        </ns0:is>
      </ns0:c>
    </ns0:row>
    <ns0:row r="4" ht="18" customHeight="1">
      <ns0:c r="A4" s="3" t="inlineStr">
        <ns0:is>
          <ns0:t>Change blue cells on Inputs. This report recalculates in Excel; scope stays fixed.</ns0:t>
        </ns0:is>
      </ns0:c>
    </ns0:row>
    <ns0:row r="5" ht="18" customHeight="1"/>
    <ns0:row r="6" ht="18" customHeight="1">
      <ns0:c r="A6" s="4" t="inlineStr">
        <ns0:is>
          <ns0:t>REDUCED DEMO / WEEK</ns0:t>
        </ns0:is>
      </ns0:c>
      <ns0:c r="C6" s="4" t="inlineStr">
        <ns0:is>
          <ns0:t>FULL MVP / WEEK</ns0:t>
        </ns0:is>
      </ns0:c>
      <ns0:c r="F6" s="4" t="inlineStr">
        <ns0:is>
          <ns0:t>WITH RESERVE / WEEK</ns0:t>
        </ns0:is>
      </ns0:c>
    </ns0:row>
    <ns0:row r="7" ht="25" customHeight="1">
      <ns0:c r="A7" s="5" t="n">
        <ns0:f>IF(Plan!I20="","BLOCKED",Plan!I13)</ns0:f>
        <ns0:v>8</ns0:v>
      </ns0:c>
      <ns0:c r="C7" s="5" t="n">
        <ns0:f>IF(Plan!I20="","BLOCKED",Plan!I17)</ns0:f>
        <ns0:v>18</ns0:v>
      </ns0:c>
      <ns0:c r="F7" s="5" t="n">
        <ns0:f>IF(Plan!I20="","BLOCKED",Plan!I17+Inputs!C22)</ns0:f>
        <ns0:v>20</ns0:v>
      </ns0:c>
    </ns0:row>
    <ns0:row r="8" ht="20" customHeight="1"/>
    <ns0:row r="9" ht="18" customHeight="1"/>
    <ns0:row r="10" ht="18" customHeight="1">
      <ns0:c r="A10" s="6" t="str">
        <ns0:f>IF(Plan!I20="","Forecast blocked. Fix the highlighted inputs before using dates.","Selected team: "&amp;Inputs!C5&amp;" developers ("&amp;Inputs!C7&amp;" experienced + "&amp;Inputs!C6&amp;" junior). Full-scope work remains "&amp;TEXT((Plan!C20+Plan!D20)*Inputs!C24,"0")&amp;" accepted-work hours. Timing changes; acceptance requirements do not.")</ns0:f>
        <ns0:v>Selected team: 2 developers (1 experienced + 1 junior). Full-scope work remains 828 accepted-work hours. Timing changes; acceptance requirements do not.</ns0:v>
      </ns0:c>
    </ns0:row>
    <ns0:row r="11" ht="18" customHeight="1"/>
    <ns0:row r="12" ht="18" customHeight="1"/>
    <ns0:row r="13" ht="24" customHeight="1">
      <ns0:c r="A13" s="7" t="inlineStr">
        <ns0:is>
          <ns0:t>FORECAST CHECKPOINTS</ns0:t>
        </ns0:is>
      </ns0:c>
    </ns0:row>
    <ns0:row r="14" ht="18" customHeight="1">
      <ns0:c r="A14" s="8" t="inlineStr">
        <ns0:is>
          <ns0:t>Checkpoint</ns0:t>
        </ns0:is>
      </ns0:c>
      <ns0:c r="C14" s="8" t="inlineStr">
        <ns0:is>
          <ns0:t>End week</ns0:t>
        </ns0:is>
      </ns0:c>
      <ns0:c r="D14" s="8" t="inlineStr">
        <ns0:is>
          <ns0:t>Approx. finish</ns0:t>
        </ns0:is>
      </ns0:c>
      <ns0:c r="F14" s="8" t="inlineStr">
        <ns0:is>
          <ns0:t>Target week</ns0:t>
        </ns0:is>
      </ns0:c>
      <ns0:c r="G14" s="8" t="inlineStr">
        <ns0:is>
          <ns0:t>Variance</ns0:t>
        </ns0:is>
      </ns0:c>
      <ns0:c r="H14" s="8" t="inlineStr">
        <ns0:is>
          <ns0:t>Schedule</ns0:t>
        </ns0:is>
      </ns0:c>
    </ns0:row>
    <ns0:row r="15" ht="24" customHeight="1">
      <ns0:c r="A15" s="9" t="inlineStr">
        <ns0:is>
          <ns0:t>Recovery / Gate A</ns0:t>
        </ns0:is>
      </ns0:c>
      <ns0:c r="C15" s="10" t="n">
        <ns0:f>IF(Plan!I20="","",Plan!I9)</ns0:f>
        <ns0:v>2</ns0:v>
      </ns0:c>
      <ns0:c r="D15" s="11" t="n">
        <ns0:f>IF(C15="","",Inputs!C19+ROUNDUP(C15*Inputs!C25,0)-1)</ns0:f>
        <ns0:v>46292</ns0:v>
      </ns0:c>
      <ns0:c r="F15" s="12" t="inlineStr">
        <ns0:is>
          <ns0:t>-</ns0:t>
        </ns0:is>
      </ns0:c>
      <ns0:c r="G15" s="13" t="inlineStr">
        <ns0:is>
          <ns0:t>-</ns0:t>
        </ns0:is>
      </ns0:c>
      <ns0:c r="H15" s="14" t="inlineStr">
        <ns0:is>
          <ns0:t>Forecast</ns0:t>
        </ns0:is>
      </ns0:c>
    </ns0:row>
    <ns0:row r="16" ht="24" customHeight="1">
      <ns0:c r="A16" s="9" t="inlineStr">
        <ns0:is>
          <ns0:t>Core / Gate B</ns0:t>
        </ns0:is>
      </ns0:c>
      <ns0:c r="C16" s="10" t="n">
        <ns0:f>IF(Plan!I20="","",Plan!I11)</ns0:f>
        <ns0:v>5</ns0:v>
      </ns0:c>
      <ns0:c r="D16" s="11" t="n">
        <ns0:f>IF(C16="","",Inputs!C19+ROUNDUP(C16*Inputs!C25,0)-1)</ns0:f>
        <ns0:v>46313</ns0:v>
      </ns0:c>
      <ns0:c r="F16" s="12" t="inlineStr">
        <ns0:is>
          <ns0:t>-</ns0:t>
        </ns0:is>
      </ns0:c>
      <ns0:c r="G16" s="13" t="inlineStr">
        <ns0:is>
          <ns0:t>-</ns0:t>
        </ns0:is>
      </ns0:c>
      <ns0:c r="H16" s="14" t="inlineStr">
        <ns0:is>
          <ns0:t>Forecast</ns0:t>
        </ns0:is>
      </ns0:c>
    </ns0:row>
    <ns0:row r="17" ht="24" customHeight="1">
      <ns0:c r="A17" s="9" t="inlineStr">
        <ns0:is>
          <ns0:t>Reduced demo</ns0:t>
        </ns0:is>
      </ns0:c>
      <ns0:c r="C17" s="10" t="n">
        <ns0:f>IF(Plan!I20="","",Plan!I13)</ns0:f>
        <ns0:v>8</ns0:v>
      </ns0:c>
      <ns0:c r="D17" s="11" t="n">
        <ns0:f>IF(C17="","",Inputs!C19+ROUNDUP(C17*Inputs!C25,0)-1)</ns0:f>
        <ns0:v>46334</ns0:v>
      </ns0:c>
      <ns0:c r="F17" s="10" t="n">
        <ns0:f>Inputs!C20</ns0:f>
        <ns0:v>8</ns0:v>
      </ns0:c>
      <ns0:c r="G17" s="15" t="n">
        <ns0:f>IF(C17="","",C17-F17)</ns0:f>
        <ns0:v>0</ns0:v>
      </ns0:c>
      <ns0:c r="H17" s="16" t="str">
        <ns0:f>IF(C17="","BLOCKED",IF(C17&gt;F17,"LATE","WITHIN"))</ns0:f>
        <ns0:v>WITHIN</ns0:v>
      </ns0:c>
    </ns0:row>
    <ns0:row r="18" ht="24" customHeight="1">
      <ns0:c r="A18" s="9" t="inlineStr">
        <ns0:is>
          <ns0:t>Full MVP / Gate C</ns0:t>
        </ns0:is>
      </ns0:c>
      <ns0:c r="C18" s="10" t="n">
        <ns0:f>IF(Plan!I20="","",Plan!I17)</ns0:f>
        <ns0:v>18</ns0:v>
      </ns0:c>
      <ns0:c r="D18" s="11" t="n">
        <ns0:f>IF(C18="","",Inputs!C19+ROUNDUP(C18*Inputs!C25,0)-1)</ns0:f>
        <ns0:v>46404</ns0:v>
      </ns0:c>
      <ns0:c r="F18" s="10" t="n">
        <ns0:f>Inputs!C21</ns0:f>
        <ns0:v>18</ns0:v>
      </ns0:c>
      <ns0:c r="G18" s="15" t="n">
        <ns0:f>IF(C18="","",C18-F18)</ns0:f>
        <ns0:v>0</ns0:v>
      </ns0:c>
      <ns0:c r="H18" s="16" t="str">
        <ns0:f>IF(C18="","BLOCKED",IF(C18&gt;F18,"LATE","WITHIN"))</ns0:f>
        <ns0:v>WITHIN</ns0:v>
      </ns0:c>
    </ns0:row>
    <ns0:row r="19" ht="24" customHeight="1">
      <ns0:c r="A19" s="9" t="inlineStr">
        <ns0:is>
          <ns0:t>With reserve</ns0:t>
        </ns0:is>
      </ns0:c>
      <ns0:c r="C19" s="10" t="n">
        <ns0:f>IF(Plan!I20="","",Plan!I17+Inputs!C22)</ns0:f>
        <ns0:v>20</ns0:v>
      </ns0:c>
      <ns0:c r="D19" s="11" t="n">
        <ns0:f>IF(C19="","",Inputs!C19+ROUNDUP(C19*Inputs!C25,0)-1)</ns0:f>
        <ns0:v>46418</ns0:v>
      </ns0:c>
      <ns0:c r="F19" s="12" t="inlineStr">
        <ns0:is>
          <ns0:t>-</ns0:t>
        </ns0:is>
      </ns0:c>
      <ns0:c r="G19" s="13" t="inlineStr">
        <ns0:is>
          <ns0:t>-</ns0:t>
        </ns0:is>
      </ns0:c>
      <ns0:c r="H19" s="14" t="inlineStr">
        <ns0:is>
          <ns0:t>Forecast</ns0:t>
        </ns0:is>
      </ns0:c>
    </ns0:row>
    <ns0:row r="20" ht="18" customHeight="1"/>
    <ns0:row r="21" ht="24" customHeight="1">
      <ns0:c r="A21" s="7" t="inlineStr">
        <ns0:is>
          <ns0:t>SCOPE AND DECISION</ns0:t>
        </ns0:is>
      </ns0:c>
    </ns0:row>
    <ns0:row r="22" ht="18" customHeight="1">
      <ns0:c r="A22" s="17" t="inlineStr">
        <ns0:is>
          <ns0:t>Reduced demo</ns0:t>
        </ns0:is>
      </ns0:c>
      <ns0:c r="C22" s="18" t="inlineStr">
        <ns0:is>
          <ns0:t>Mapping A -&gt; same core -&gt; MQTT/TLS -&gt; receiver receipt. No full-reuse, durable-crash-recovery or remote-configuration claim yet.</ns0:t>
        </ns0:is>
      </ns0:c>
    </ns0:row>
    <ns0:row r="23" ht="18" customHeight="1"/>
    <ns0:row r="24" ht="18" customHeight="1">
      <ns0:c r="A24" s="17" t="inlineStr">
        <ns0:is>
          <ns0:t>Full MVP</ns0:t>
        </ns0:is>
      </ns0:c>
      <ns0:c r="C24" s="18" t="inlineStr">
        <ns0:is>
          <ns0:t>Mappings A/B + MQTT/HTTPS; bounded durable recovery; one authorized profile update; S1-S6; frozen core and target-port design. Not an AAOS SDV runtime port.</ns0:t>
        </ns0:is>
      </ns0:c>
    </ns0:row>
    <ns0:row r="25" ht="18" customHeight="1"/>
    <ns0:row r="26" ht="18" customHeight="1"/>
    <ns0:row r="27" ht="18" customHeight="1">
      <ns0:c r="A27" s="17" t="inlineStr">
        <ns0:is>
          <ns0:t>Staffing envelope</ns0:t>
        </ns0:is>
      </ns0:c>
      <ns0:c r="C27" s="19" t="n">
        <ns0:f>IF(Plan!I20="","",Plan!I17*Inputs!C31)</ns0:f>
        <ns0:v>1440</ns0:v>
      </ns0:c>
      <ns0:c r="F27" s="20" t="n">
        <ns0:f>IF(Plan!I20="","",(Plan!I17+Inputs!C22)*Inputs!C31)</ns0:f>
        <ns0:v>1600</ns0:v>
      </ns0:c>
    </ns0:row>
    <ns0:row r="28" ht="18" customHeight="1"/>
    <ns0:row r="29" ht="18" customHeight="1">
      <ns0:c r="A29" s="21" t="str">
        <ns0:f>IF(Plan!I20="","Decision: correct blocked assumptions first.","Decision requested: approve recovery only ("&amp;TEXT(Plan!H9,"0.0")&amp;" active weeks; "&amp;TEXT(Plan!I9,"0.0")&amp;" elapsed weeks including waits). Re-estimate at Gate A before committing to the remaining forecast.")</ns0:f>
        <ns0:v>Decision requested: approve recovery only (2.0 active weeks; 2.0 elapsed weeks including waits). Re-estimate at Gate A before committing to the remaining forecast.</ns0:v>
      </ns0:c>
    </ns0:row>
    <ns0:row r="30" ht="18" customHeight="1"/>
    <ns0:row r="31" ht="18" customHeight="1"/>
    <ns0:row r="32" ht="18" customHeight="1">
      <ns0:c r="A32" s="22" t="inlineStr">
        <ns0:is>
          <ns0:t>Forecast is not approval or evidence. Dates use elapsed calendar weeks; availability and waits must reflect real access, leave and assignments. All full-MVP cases still require a recorded pass. Scope/detail: companion short DAR.</ns0:t>
        </ns0:is>
      </ns0:c>
    </ns0:row>
    <ns0:row r="33" ht="18" customHeight="1"/>
    <ns0:row r="34" ht="18" customHeight="1"/>
    <ns0:row r="35" ht="23" customHeight="1">
      <ns0:c r="A35" s="17" t="inlineStr">
        <ns0:is>
          <ns0:t>Model check</ns0:t>
        </ns0:is>
      </ns0:c>
      <ns0:c r="C35" s="23" t="str">
        <ns0:f>IF(OR(Inputs!C32&lt;&gt;"OK",COUNT(Plan!I9:I17)&lt;&gt;9,COUNTIF(Plan!T9:T17,"BLOCKED")&gt;0),"BLOCKED - review Inputs / Plan",IF(ABS(Scenarios!F9-Plan!I17)&gt;0.000001,"ERROR - scenario mismatch","OK - formula consistency; estimates need review"))</ns0:f>
        <ns0:v>OK - formula consistency; estimates need review</ns0:v>
      </ns0:c>
    </ns0:row>
    <ns0:row r="36" ht="18" customHeight="1"/>
    <ns0:row r="37" ht="18" customHeight="1"/>
    <ns0:row r="38" ht="18" customHeight="1"/>
    <ns0:row r="39" ht="18" customHeight="1"/>
    <ns0:row r="40" ht="23" customHeight="1"/>
    <ns0:row r="41" ht="23" customHeight="1"/>
    <ns0:row r="42" ht="23" customHeight="1"/>
    <ns0:row r="43" ht="23" customHeight="1"/>
    <ns0:row r="44" ht="23" customHeight="1"/>
    <ns0:row r="45" ht="23" customHeight="1"/>
    <ns0:row r="46" ht="23" customHeight="1"/>
    <ns0:row r="47" ht="23" customHeight="1"/>
    <ns0:row r="48" ht="23" customHeight="1"/>
    <ns0:row r="49" ht="23" customHeight="1"/>
    <ns0:row r="50" ht="23" customHeight="1"/>
    <ns0:row r="51" ht="23" customHeight="1"/>
    <ns0:row r="52" ht="23" customHeight="1"/>
    <ns0:row r="53" ht="23" customHeight="1"/>
    <ns0:row r="54" ht="23" customHeight="1"/>
    <ns0:row r="55" ht="23" customHeight="1"/>
    <ns0:row r="56" ht="23" customHeight="1"/>
    <ns0:row r="57" ht="23" customHeight="1"/>
    <ns0:row r="58" ht="23" customHeight="1"/>
    <ns0:row r="59" ht="23" customHeight="1"/>
    <ns0:row r="60" ht="23" customHeight="1"/>
    <ns0:row r="61" ht="23" customHeight="1"/>
    <ns0:row r="62" ht="23" customHeight="1"/>
    <ns0:row r="63" ht="23" customHeight="1"/>
    <ns0:row r="64" ht="23" customHeight="1"/>
  </ns0:sheetData>
  <ns0:mergeCells count="35">
    <ns0:mergeCell ref="A24:B24"/>
    <ns0:mergeCell ref="A15:B15"/>
    <ns0:mergeCell ref="D19:E19"/>
    <ns0:mergeCell ref="A6:B6"/>
    <ns0:mergeCell ref="A32:H33"/>
    <ns0:mergeCell ref="F7:H8"/>
    <ns0:mergeCell ref="A16:B16"/>
    <ns0:mergeCell ref="C24:H25"/>
    <ns0:mergeCell ref="C27:E27"/>
    <ns0:mergeCell ref="A29:H30"/>
    <ns0:mergeCell ref="F27:H27"/>
    <ns0:mergeCell ref="A10:H11"/>
    <ns0:mergeCell ref="A18:B18"/>
    <ns0:mergeCell ref="A27:B27"/>
    <ns0:mergeCell ref="D17:E17"/>
    <ns0:mergeCell ref="A3:H3"/>
    <ns0:mergeCell ref="D16:E16"/>
    <ns0:mergeCell ref="A21:H21"/>
    <ns0:mergeCell ref="C22:H23"/>
    <ns0:mergeCell ref="A14:B14"/>
    <ns0:mergeCell ref="A17:B17"/>
    <ns0:mergeCell ref="D18:E18"/>
    <ns0:mergeCell ref="A1:H2"/>
    <ns0:mergeCell ref="A22:B22"/>
    <ns0:mergeCell ref="C6:E6"/>
    <ns0:mergeCell ref="A35:B35"/>
    <ns0:mergeCell ref="A4:H4"/>
    <ns0:mergeCell ref="F6:H6"/>
    <ns0:mergeCell ref="D15:E15"/>
    <ns0:mergeCell ref="A7:B8"/>
    <ns0:mergeCell ref="A19:B19"/>
    <ns0:mergeCell ref="D14:E14"/>
    <ns0:mergeCell ref="A13:H13"/>
    <ns0:mergeCell ref="C35:H35"/>
    <ns0:mergeCell ref="C7:E8"/>
  </ns0:mergeCells>
  <ns0:conditionalFormatting sqref="H15:H19">
    <ns0:cfRule type="cellIs" priority="1" operator="equal" dxfId="0">
      <ns0:formula>"LATE"</ns0:formula>
    </ns0:cfRule>
    <ns0:cfRule type="cellIs" priority="2" operator="equal" dxfId="1">
      <ns0:formula>"BLOCKED"</ns0:formula>
    </ns0:cfRule>
  </ns0:conditionalFormatting>
  <ns0:printOptions horizontalCentered="1"/>
  <ns0:pageMargins left="0.3" right="0.3" top="0.4" bottom="0.4" header="0.5" footer="0.5"/>
  <ns0:pageSetup orientation="landscape" paperSize="9" fitToHeight="1" fitToWidth="1"/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tabColor rgb="0017364D"/>
    <ns0:outlinePr summaryBelow="1" summaryRight="0"/>
    <ns0:pageSetUpPr fitToPage="1"/>
  </ns0:sheetPr>
  <ns0:dimension ref="A1:F35"/>
  <ns0:sheetViews>
    <ns0:sheetView showGridLines="0" zoomScale="90" workbookViewId="0">
      <ns0:pane xSplit="2" ySplit="4" topLeftCell="C5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43" customWidth="1" min="1" max="1"/>
    <ns0:col width="3" customWidth="1" min="2" max="2"/>
    <ns0:col width="16" customWidth="1" min="3" max="3"/>
    <ns0:col width="3" customWidth="1" min="4" max="4"/>
    <ns0:col width="46" customWidth="1" min="5" max="5"/>
    <ns0:col width="12" customWidth="1" min="6" max="6"/>
  </ns0:cols>
  <ns0:sheetData>
    <ns0:row r="1" ht="20" customHeight="1">
      <ns0:c r="A1" s="1" t="inlineStr">
        <ns0:is>
          <ns0:t>Change the team, not the report</ns0:t>
        </ns0:is>
      </ns0:c>
    </ns0:row>
    <ns0:row r="2" ht="20" customHeight="1"/>
    <ns0:row r="3" ht="30" customHeight="1">
      <ns0:c r="A3" s="2" t="inlineStr">
        <ns0:is>
          <ns0:t>Edit blue cells. Black cells calculate. Default team: 1 experienced developer + 1 intern/fresher.</ns0:t>
        </ns0:is>
      </ns0:c>
    </ns0:row>
    <ns0:row r="4" ht="24" customHeight="1">
      <ns0:c r="A4" s="7" t="inlineStr">
        <ns0:is>
          <ns0:t>1  TEAM</ns0:t>
        </ns0:is>
      </ns0:c>
    </ns0:row>
    <ns0:row r="5" ht="37" customHeight="1">
      <ns0:c r="A5" s="9" t="inlineStr">
        <ns0:is>
          <ns0:t>Total developers</ns0:t>
        </ns0:is>
      </ns0:c>
      <ns0:c r="C5" s="24" t="n">
        <ns0:v>2</ns0:v>
      </ns0:c>
      <ns0:c r="E5" s="2" t="inlineStr">
        <ns0:is>
          <ns0:t>Changing 2 to 3 adds one experienced developer unless the junior count also changes.</ns0:t>
        </ns0:is>
      </ns0:c>
    </ns0:row>
    <ns0:row r="6" ht="37" customHeight="1">
      <ns0:c r="A6" s="9" t="inlineStr">
        <ns0:is>
          <ns0:t>Intern / fresher count</ns0:t>
        </ns0:is>
      </ns0:c>
      <ns0:c r="C6" s="24" t="n">
        <ns0:v>1</ns0:v>
      </ns0:c>
      <ns0:c r="E6" s="2" t="inlineStr">
        <ns0:is>
          <ns0:t>Must be smaller than total developers. At least one experienced developer is required.</ns0:t>
        </ns0:is>
      </ns0:c>
    </ns0:row>
    <ns0:row r="7" ht="31" customHeight="1">
      <ns0:c r="A7" s="9" t="inlineStr">
        <ns0:is>
          <ns0:t>Experienced developer count</ns0:t>
        </ns0:is>
      </ns0:c>
      <ns0:c r="C7" s="25" t="n">
        <ns0:f>C5-C6</ns0:f>
        <ns0:v>1</ns0:v>
      </ns0:c>
      <ns0:c r="E7" s="2" t="inlineStr">
        <ns0:is>
          <ns0:t>Total minus intern/fresher count. Assumes suitable AAOS/core skills.</ns0:t>
        </ns0:is>
      </ns0:c>
    </ns0:row>
    <ns0:row r="8" ht="31" customHeight="1">
      <ns0:c r="A8" s="18" t="inlineStr">
        <ns0:is>
          <ns0:t>Paid hours per person / week</ns0:t>
        </ns0:is>
      </ns0:c>
      <ns0:c r="C8" s="26" t="n">
        <ns0:v>40</ns0:v>
      </ns0:c>
      <ns0:c r="E8" s="2" t="inlineStr">
        <ns0:is>
          <ns0:t>Nominal time; not all time becomes accepted delivery work.</ns0:t>
        </ns0:is>
      </ns0:c>
    </ns0:row>
    <ns0:row r="9" ht="31" customHeight="1">
      <ns0:c r="A9" s="18" t="inlineStr">
        <ns0:is>
          <ns0:t>Experienced allocation</ns0:t>
        </ns0:is>
      </ns0:c>
      <ns0:c r="C9" s="27" t="n">
        <ns0:v>1</ns0:v>
      </ns0:c>
      <ns0:c r="E9" s="2" t="inlineStr">
        <ns0:is>
          <ns0:t>Share of working time assigned to this project.</ns0:t>
        </ns0:is>
      </ns0:c>
    </ns0:row>
    <ns0:row r="10" ht="31" customHeight="1">
      <ns0:c r="A10" s="18" t="inlineStr">
        <ns0:is>
          <ns0:t>Junior allocation</ns0:t>
        </ns0:is>
      </ns0:c>
      <ns0:c r="C10" s="27" t="n">
        <ns0:v>1</ns0:v>
      </ns0:c>
      <ns0:c r="E10" s="2" t="inlineStr">
        <ns0:is>
          <ns0:t>Set below 100% for part-time internship or other assignments.</ns0:t>
        </ns0:is>
      </ns0:c>
    </ns0:row>
    <ns0:row r="11" ht="24" customHeight="1">
      <ns0:c r="A11" s="7" t="inlineStr">
        <ns0:is>
          <ns0:t>2  USABLE CAPACITY</ns0:t>
        </ns0:is>
      </ns0:c>
    </ns0:row>
    <ns0:row r="12" ht="37" customHeight="1">
      <ns0:c r="A12" s="18" t="inlineStr">
        <ns0:is>
          <ns0:t>Experienced usable time, before mentoring</ns0:t>
        </ns0:is>
      </ns0:c>
      <ns0:c r="C12" s="27" t="n">
        <ns0:v>0.85</ns0:v>
      </ns0:c>
      <ns0:c r="E12" s="2" t="inlineStr">
        <ns0:is>
          <ns0:t>85% of allocated time. The remaining 15% covers coordination and environment/support.</ns0:t>
        </ns0:is>
      </ns0:c>
    </ns0:row>
    <ns0:row r="13" ht="31" customHeight="1">
      <ns0:c r="A13" s="18" t="inlineStr">
        <ns0:is>
          <ns0:t>Junior accepted work rate, after recovery</ns0:t>
        </ns0:is>
      </ns0:c>
      <ns0:c r="C13" s="27" t="n">
        <ns0:v>0.6</ns0:v>
      </ns0:c>
      <ns0:c r="E13" s="2" t="inlineStr">
        <ns0:is>
          <ns0:t>60% of allocated time; includes tests and evidence accepted after review.</ns0:t>
        </ns0:is>
      </ns0:c>
    </ns0:row>
    <ns0:row r="14" ht="37" customHeight="1">
      <ns0:c r="A14" s="18" t="inlineStr">
        <ns0:is>
          <ns0:t>Junior accepted work rate, during recovery</ns0:t>
        </ns0:is>
      </ns0:c>
      <ns0:c r="C14" s="27" t="n">
        <ns0:v>0.3</ns0:v>
      </ns0:c>
      <ns0:c r="E14" s="2" t="inlineStr">
        <ns0:is>
          <ns0:t>Lower rate applies to the whole recovery phase, not a fixed number of weeks.</ns0:t>
        </ns0:is>
      </ns0:c>
    </ns0:row>
    <ns0:row r="15" ht="37" customHeight="1">
      <ns0:c r="A15" s="18" t="inlineStr">
        <ns0:is>
          <ns0:t>Mentoring hours per allocated junior / week</ns0:t>
        </ns0:is>
      </ns0:c>
      <ns0:c r="C15" s="28" t="n">
        <ns0:v>6</ns0:v>
      </ns0:c>
      <ns0:c r="E15" s="2" t="inlineStr">
        <ns0:is>
          <ns0:t>Deducted once from the experienced pool; ordinary PR review stays inside work estimates.</ns0:t>
        </ns0:is>
      </ns0:c>
    </ns0:row>
    <ns0:row r="16" ht="37" customHeight="1">
      <ns0:c r="A16" s="18" t="inlineStr">
        <ns0:is>
          <ns0:t>Maximum experienced contributors per phase</ns0:t>
        </ns0:is>
      </ns0:c>
      <ns0:c r="C16" s="26" t="n">
        <ns0:v>2</ns0:v>
      </ns0:c>
      <ns0:c r="E16" s="2" t="inlineStr">
        <ns0:is>
          <ns0:t>Caps useful parallel work. More staff do not automatically remove sequence or review limits.</ns0:t>
        </ns0:is>
      </ns0:c>
    </ns0:row>
    <ns0:row r="17" ht="31" customHeight="1">
      <ns0:c r="A17" s="18" t="inlineStr">
        <ns0:is>
          <ns0:t>Maximum junior contributors per phase</ns0:t>
        </ns0:is>
      </ns0:c>
      <ns0:c r="C17" s="26" t="n">
        <ns0:v>2</ns0:v>
      </ns0:c>
      <ns0:c r="E17" s="2" t="inlineStr">
        <ns0:is>
          <ns0:t>Caps parallel support work. These contributor caps are proposed controls.</ns0:t>
        </ns0:is>
      </ns0:c>
    </ns0:row>
    <ns0:row r="18" ht="24" customHeight="1">
      <ns0:c r="A18" s="7" t="inlineStr">
        <ns0:is>
          <ns0:t>3  CALENDAR AND FORECAST</ns0:t>
        </ns0:is>
      </ns0:c>
    </ns0:row>
    <ns0:row r="19" ht="31" customHeight="1">
      <ns0:c r="A19" s="18" t="inlineStr">
        <ns0:is>
          <ns0:t>Planning start date</ns0:t>
        </ns0:is>
      </ns0:c>
      <ns0:c r="C19" s="29" t="n">
        <ns0:v>46279</ns0:v>
      </ns0:c>
      <ns0:c r="E19" s="2" t="inlineStr">
        <ns0:is>
          <ns0:t>Illustrative start only. Replace with an approved start after access is ready.</ns0:t>
        </ns0:is>
      </ns0:c>
    </ns0:row>
    <ns0:row r="20" ht="31" customHeight="1">
      <ns0:c r="A20" s="18" t="inlineStr">
        <ns0:is>
          <ns0:t>Desired reduced-demo week</ns0:t>
        </ns0:is>
      </ns0:c>
      <ns0:c r="C20" s="28" t="n">
        <ns0:v>8</ns0:v>
      </ns0:c>
      <ns0:c r="E20" s="2" t="inlineStr">
        <ns0:is>
          <ns0:t>A comparison target, not a formula override or promise.</ns0:t>
        </ns0:is>
      </ns0:c>
    </ns0:row>
    <ns0:row r="21" ht="31" customHeight="1">
      <ns0:c r="A21" s="18" t="inlineStr">
        <ns0:is>
          <ns0:t>Desired full-MVP week</ns0:t>
        </ns0:is>
      </ns0:c>
      <ns0:c r="C21" s="28" t="n">
        <ns0:v>18</ns0:v>
      </ns0:c>
      <ns0:c r="E21" s="2" t="inlineStr">
        <ns0:is>
          <ns0:t>A comparison target, not a formula override or promise.</ns0:t>
        </ns0:is>
      </ns0:c>
    </ns0:row>
    <ns0:row r="22" ht="31" customHeight="1">
      <ns0:c r="A22" s="18" t="inlineStr">
        <ns0:is>
          <ns0:t>Sponsor-controlled reserve (weeks)</ns0:t>
        </ns0:is>
      </ns0:c>
      <ns0:c r="C22" s="28" t="n">
        <ns0:v>2</ns0:v>
      </ns0:c>
      <ns0:c r="E22" s="2" t="inlineStr">
        <ns0:is>
          <ns0:t>Added after the base forecast. Does not buy extra features.</ns0:t>
        </ns0:is>
      </ns0:c>
    </ns0:row>
    <ns0:row r="23" ht="31" customHeight="1">
      <ns0:c r="A23" s="18" t="inlineStr">
        <ns0:is>
          <ns0:t>Schedule rounding step (weeks)</ns0:t>
        </ns0:is>
      </ns0:c>
      <ns0:c r="C23" s="28" t="n">
        <ns0:v>0.5</ns0:v>
      </ns0:c>
      <ns0:c r="E23" s="2" t="inlineStr">
        <ns0:is>
          <ns0:t>Rounds each phase upward. Use 0.5 or 1 week.</ns0:t>
        </ns0:is>
      </ns0:c>
    </ns0:row>
    <ns0:row r="24" ht="31" customHeight="1">
      <ns0:c r="A24" s="18" t="inlineStr">
        <ns0:is>
          <ns0:t>Work estimate multiplier</ns0:t>
        </ns0:is>
      </ns0:c>
      <ns0:c r="C24" s="30" t="n">
        <ns0:v>1</ns0:v>
      </ns0:c>
      <ns0:c r="E24" s="2" t="inlineStr">
        <ns0:is>
          <ns0:t>1.00 = source workload. 1.20 models 20% more work; does not change scope.</ns0:t>
        </ns0:is>
      </ns0:c>
    </ns0:row>
    <ns0:row r="25" ht="37" customHeight="1">
      <ns0:c r="A25" s="31" t="inlineStr">
        <ns0:is>
          <ns0:t>Calendar days per elapsed week</ns0:t>
        </ns0:is>
      </ns0:c>
      <ns0:c r="C25" s="32" t="n">
        <ns0:v>7</ns0:v>
      </ns0:c>
      <ns0:c r="E25" s="2" t="inlineStr">
        <ns0:is>
          <ns0:t>Calendar dates are approximate elapsed-week dates, not a holiday-aware workday schedule.</ns0:t>
        </ns0:is>
      </ns0:c>
    </ns0:row>
    <ns0:row r="26" ht="24" customHeight="1">
      <ns0:c r="A26" s="7" t="inlineStr">
        <ns0:is>
          <ns0:t>4  CALCULATED CAPACITY</ns0:t>
        </ns0:is>
      </ns0:c>
    </ns0:row>
    <ns0:row r="27" ht="31" customHeight="1">
      <ns0:c r="A27" s="18" t="inlineStr">
        <ns0:is>
          <ns0:t>Experienced pool: delivery hours / week</ns0:t>
        </ns0:is>
      </ns0:c>
      <ns0:c r="C27" s="33" t="n">
        <ns0:f>MAX(0,C7*C8*C9*C12-C6*C10*C15)</ns0:f>
        <ns0:v>28</ns0:v>
      </ns0:c>
      <ns0:c r="E27" s="2" t="inlineStr">
        <ns0:is>
          <ns0:t>Before the per-phase contributor and senior-critical caps.</ns0:t>
        </ns0:is>
      </ns0:c>
    </ns0:row>
    <ns0:row r="28" ht="31" customHeight="1">
      <ns0:c r="A28" s="18" t="inlineStr">
        <ns0:is>
          <ns0:t>Experienced: delivery hours per person</ns0:t>
        </ns0:is>
      </ns0:c>
      <ns0:c r="C28" s="33" t="n">
        <ns0:f>IF(C7&gt;0,C27/C7,0)</ns0:f>
        <ns0:v>28</ns0:v>
      </ns0:c>
      <ns0:c r="E28" s="2" t="inlineStr">
        <ns0:is>
          <ns0:t>Mentoring is shared across the experienced pool.</ns0:t>
        </ns0:is>
      </ns0:c>
    </ns0:row>
    <ns0:row r="29" ht="31" customHeight="1">
      <ns0:c r="A29" s="18" t="inlineStr">
        <ns0:is>
          <ns0:t>Junior: hours per person after recovery</ns0:t>
        </ns0:is>
      </ns0:c>
      <ns0:c r="C29" s="33" t="n">
        <ns0:f>C8*C10*C13</ns0:f>
        <ns0:v>24</ns0:v>
      </ns0:c>
      <ns0:c r="E29" s="2" t="inlineStr">
        <ns0:is>
          <ns0:t>Used for phases P2-P9.</ns0:t>
        </ns0:is>
      </ns0:c>
    </ns0:row>
    <ns0:row r="30" ht="31" customHeight="1">
      <ns0:c r="A30" s="18" t="inlineStr">
        <ns0:is>
          <ns0:t>Junior: hours per person during recovery</ns0:t>
        </ns0:is>
      </ns0:c>
      <ns0:c r="C30" s="33" t="n">
        <ns0:f>C8*C10*C14</ns0:f>
        <ns0:v>12</ns0:v>
      </ns0:c>
      <ns0:c r="E30" s="2" t="inlineStr">
        <ns0:is>
          <ns0:t>Used for phase P1 only.</ns0:t>
        </ns0:is>
      </ns0:c>
    </ns0:row>
    <ns0:row r="31" ht="31" customHeight="1">
      <ns0:c r="A31" s="18" t="inlineStr">
        <ns0:is>
          <ns0:t>Nominal allocated team hours / week</ns0:t>
        </ns0:is>
      </ns0:c>
      <ns0:c r="C31" s="33" t="n">
        <ns0:f>C8*(C7*C9+C6*C10)</ns0:f>
        <ns0:v>80</ns0:v>
      </ns0:c>
      <ns0:c r="E31" s="2" t="inlineStr">
        <ns0:is>
          <ns0:t>Staffed/allocated hours, not accepted work. Used for the staffing envelope.</ns0:t>
        </ns0:is>
      </ns0:c>
    </ns0:row>
    <ns0:row r="32" ht="31" customHeight="1">
      <ns0:c r="A32" s="34" t="inlineStr">
        <ns0:is>
          <ns0:t>Input validation</ns0:t>
        </ns0:is>
      </ns0:c>
      <ns0:c r="C32" s="35" t="str">
        <ns0:f>IF(OR(C5&lt;1,C5&lt;&gt;INT(C5),C6&lt;0,C6&lt;&gt;INT(C6),C6&gt;=C5,C8&lt;=0,C9&lt;=0,C9&gt;1,C10&lt;0,C10&gt;1,C12&lt;=0,C12&gt;1,C13&lt;0,C13&gt;1,C14&lt;0,C14&gt;1,C15&lt;0,C16&lt;1,C16&lt;&gt;INT(C16),C17&lt;0,C17&lt;&gt;INT(C17),C19&lt;1,C20&lt;=0,C21&lt;=0,C22&lt;0,AND(C23&lt;&gt;0.5,C23&lt;&gt;1),C24&lt;=0,C27&lt;=0),"BLOCKED","OK")</ns0:f>
        <ns0:v>OK</ns0:v>
      </ns0:c>
      <ns0:c r="E32" s="2" t="inlineStr">
        <ns0:is>
          <ns0:t>If BLOCKED, correct the inputs before using any forecast.</ns0:t>
        </ns0:is>
      </ns0:c>
    </ns0:row>
    <ns0:row r="33" ht="23" customHeight="1"/>
    <ns0:row r="34" ht="23" customHeight="1">
      <ns0:c r="A34" s="22" t="inlineStr">
        <ns0:is>
          <ns0:t>No overtime, new production backend, independent security reviewer or completed AAOS SDV runtime port is assumed. Role changes alter the forecast, not the approved scope.</ns0:t>
        </ns0:is>
      </ns0:c>
    </ns0:row>
    <ns0:row r="35" ht="23" customHeight="1"/>
    <ns0:row r="36" ht="23" customHeight="1"/>
    <ns0:row r="37" ht="23" customHeight="1"/>
    <ns0:row r="38" ht="23" customHeight="1"/>
    <ns0:row r="39" ht="23" customHeight="1"/>
    <ns0:row r="40" ht="23" customHeight="1"/>
    <ns0:row r="41" ht="23" customHeight="1"/>
    <ns0:row r="42" ht="23" customHeight="1"/>
    <ns0:row r="43" ht="23" customHeight="1"/>
    <ns0:row r="44" ht="23" customHeight="1"/>
    <ns0:row r="45" ht="23" customHeight="1"/>
    <ns0:row r="46" ht="23" customHeight="1"/>
    <ns0:row r="47" ht="23" customHeight="1"/>
    <ns0:row r="48" ht="23" customHeight="1"/>
    <ns0:row r="49" ht="23" customHeight="1"/>
    <ns0:row r="50" ht="23" customHeight="1"/>
    <ns0:row r="51" ht="23" customHeight="1"/>
    <ns0:row r="52" ht="23" customHeight="1"/>
    <ns0:row r="53" ht="23" customHeight="1"/>
    <ns0:row r="54" ht="23" customHeight="1"/>
    <ns0:row r="55" ht="23" customHeight="1"/>
    <ns0:row r="56" ht="23" customHeight="1"/>
    <ns0:row r="57" ht="23" customHeight="1"/>
    <ns0:row r="58" ht="23" customHeight="1"/>
    <ns0:row r="59" ht="23" customHeight="1"/>
    <ns0:row r="60" ht="23" customHeight="1"/>
    <ns0:row r="61" ht="23" customHeight="1"/>
    <ns0:row r="62" ht="23" customHeight="1"/>
    <ns0:row r="63" ht="23" customHeight="1"/>
    <ns0:row r="64" ht="23" customHeight="1"/>
  </ns0:sheetData>
  <ns0:mergeCells count="32">
    <ns0:mergeCell ref="E12:F12"/>
    <ns0:mergeCell ref="E24:F24"/>
    <ns0:mergeCell ref="E5:F5"/>
    <ns0:mergeCell ref="E23:F23"/>
    <ns0:mergeCell ref="A18:F18"/>
    <ns0:mergeCell ref="E14:F14"/>
    <ns0:mergeCell ref="A34:F35"/>
    <ns0:mergeCell ref="A26:F26"/>
    <ns0:mergeCell ref="A3:F3"/>
    <ns0:mergeCell ref="E17:F17"/>
    <ns0:mergeCell ref="E8:F8"/>
    <ns0:mergeCell ref="E20:F20"/>
    <ns0:mergeCell ref="E29:F29"/>
    <ns0:mergeCell ref="E10:F10"/>
    <ns0:mergeCell ref="E19:F19"/>
    <ns0:mergeCell ref="A1:F2"/>
    <ns0:mergeCell ref="E28:F28"/>
    <ns0:mergeCell ref="E13:F13"/>
    <ns0:mergeCell ref="A4:F4"/>
    <ns0:mergeCell ref="E9:F9"/>
    <ns0:mergeCell ref="E31:F31"/>
    <ns0:mergeCell ref="E6:F6"/>
    <ns0:mergeCell ref="E30:F30"/>
    <ns0:mergeCell ref="E15:F15"/>
    <ns0:mergeCell ref="E27:F27"/>
    <ns0:mergeCell ref="A11:F11"/>
    <ns0:mergeCell ref="E16:F16"/>
    <ns0:mergeCell ref="E32:F32"/>
    <ns0:mergeCell ref="E7:F7"/>
    <ns0:mergeCell ref="E25:F25"/>
    <ns0:mergeCell ref="E22:F22"/>
    <ns0:mergeCell ref="E21:F21"/>
  </ns0:mergeCells>
  <ns0:conditionalFormatting sqref="C32">
    <ns0:cfRule type="cellIs" priority="1" operator="equal" dxfId="1">
      <ns0:formula>"BLOCKED"</ns0:formula>
    </ns0:cfRule>
  </ns0:conditionalFormatting>
  <ns0:dataValidations count="17">
    <ns0:dataValidation sqref="C5" showDropDown="0" showInputMessage="0" showErrorMessage="1" allowBlank="0" errorTitle="Check this planning input" error="Enter a value between 1 and 20." type="whole" errorStyle="stop" operator="between">
      <ns0:formula1>1</ns0:formula1>
      <ns0:formula2>20</ns0:formula2>
    </ns0:dataValidation>
    <ns0:dataValidation sqref="C6" showDropDown="0" showInputMessage="0" showErrorMessage="1" allowBlank="0" errorTitle="Check this planning input" error="Enter a value between 0 and 20." type="whole" errorStyle="stop" operator="between">
      <ns0:formula1>0</ns0:formula1>
      <ns0:formula2>20</ns0:formula2>
    </ns0:dataValidation>
    <ns0:dataValidation sqref="C8" showDropDown="0" showInputMessage="0" showErrorMessage="1" allowBlank="0" errorTitle="Check this planning input" error="Enter a value between 0.01 and 1000." type="decimal" errorStyle="stop" operator="between">
      <ns0:formula1>0.01</ns0:formula1>
      <ns0:formula2>1000</ns0:formula2>
    </ns0:dataValidation>
    <ns0:dataValidation sqref="C9" showDropDown="0" showInputMessage="0" showErrorMessage="1" allowBlank="0" errorTitle="Check this planning input" error="Enter a value between 0 and 1." type="decimal" errorStyle="stop" operator="between">
      <ns0:formula1>0</ns0:formula1>
      <ns0:formula2>1</ns0:formula2>
    </ns0:dataValidation>
    <ns0:dataValidation sqref="C10" showDropDown="0" showInputMessage="0" showErrorMessage="1" allowBlank="0" errorTitle="Check this planning input" error="Enter a value between 0 and 1." type="decimal" errorStyle="stop" operator="between">
      <ns0:formula1>0</ns0:formula1>
      <ns0:formula2>1</ns0:formula2>
    </ns0:dataValidation>
    <ns0:dataValidation sqref="C12" showDropDown="0" showInputMessage="0" showErrorMessage="1" allowBlank="0" errorTitle="Check this planning input" error="Enter a value between 0 and 1." type="decimal" errorStyle="stop" operator="between">
      <ns0:formula1>0</ns0:formula1>
      <ns0:formula2>1</ns0:formula2>
    </ns0:dataValidation>
    <ns0:dataValidation sqref="C13" showDropDown="0" showInputMessage="0" showErrorMessage="1" allowBlank="0" errorTitle="Check this planning input" error="Enter a value between 0 and 1." type="decimal" errorStyle="stop" operator="between">
      <ns0:formula1>0</ns0:formula1>
      <ns0:formula2>1</ns0:formula2>
    </ns0:dataValidation>
    <ns0:dataValidation sqref="C14" showDropDown="0" showInputMessage="0" showErrorMessage="1" allowBlank="0" errorTitle="Check this planning input" error="Enter a value between 0 and 1." type="decimal" errorStyle="stop" operator="between">
      <ns0:formula1>0</ns0:formula1>
      <ns0:formula2>1</ns0:formula2>
    </ns0:dataValidation>
    <ns0:dataValidation sqref="C15" showDropDown="0" showInputMessage="0" showErrorMessage="1" allowBlank="0" errorTitle="Check this planning input" error="Enter a value between 0 and 1000." type="decimal" errorStyle="stop" operator="between">
      <ns0:formula1>0</ns0:formula1>
      <ns0:formula2>1000</ns0:formula2>
    </ns0:dataValidation>
    <ns0:dataValidation sqref="C16" showDropDown="0" showInputMessage="0" showErrorMessage="1" allowBlank="0" errorTitle="Check this planning input" error="Enter a value between 1 and 20." type="whole" errorStyle="stop" operator="between">
      <ns0:formula1>1</ns0:formula1>
      <ns0:formula2>20</ns0:formula2>
    </ns0:dataValidation>
    <ns0:dataValidation sqref="C17" showDropDown="0" showInputMessage="0" showErrorMessage="1" allowBlank="0" errorTitle="Check this planning input" error="Enter a value between 0 and 20." type="whole" errorStyle="stop" operator="between">
      <ns0:formula1>0</ns0:formula1>
      <ns0:formula2>20</ns0:formula2>
    </ns0:dataValidation>
    <ns0:dataValidation sqref="C20" showDropDown="0" showInputMessage="0" showErrorMessage="1" allowBlank="0" errorTitle="Check this planning input" error="Enter a value between 0.01 and 1000." type="decimal" errorStyle="stop" operator="between">
      <ns0:formula1>0.01</ns0:formula1>
      <ns0:formula2>1000</ns0:formula2>
    </ns0:dataValidation>
    <ns0:dataValidation sqref="C21" showDropDown="0" showInputMessage="0" showErrorMessage="1" allowBlank="0" errorTitle="Check this planning input" error="Enter a value between 0.01 and 1000." type="decimal" errorStyle="stop" operator="between">
      <ns0:formula1>0.01</ns0:formula1>
      <ns0:formula2>1000</ns0:formula2>
    </ns0:dataValidation>
    <ns0:dataValidation sqref="C22" showDropDown="0" showInputMessage="0" showErrorMessage="1" allowBlank="0" errorTitle="Check this planning input" error="Enter a value between 0 and 1000." type="decimal" errorStyle="stop" operator="between">
      <ns0:formula1>0</ns0:formula1>
      <ns0:formula2>1000</ns0:formula2>
    </ns0:dataValidation>
    <ns0:dataValidation sqref="C24" showDropDown="0" showInputMessage="0" showErrorMessage="1" allowBlank="0" errorTitle="Check this planning input" error="Enter a value between 0.01 and 1000." type="decimal" errorStyle="stop" operator="between">
      <ns0:formula1>0.01</ns0:formula1>
      <ns0:formula2>1000</ns0:formula2>
    </ns0:dataValidation>
    <ns0:dataValidation sqref="C19" showDropDown="0" showInputMessage="0" showErrorMessage="1" allowBlank="0" error="Enter a valid planning start date." type="date" operator="between">
      <ns0:formula1>DATE(2020,1,1)</ns0:formula1>
      <ns0:formula2>DATE(2100,12,31)</ns0:formula2>
    </ns0:dataValidation>
    <ns0:dataValidation sqref="C23" showDropDown="0" showInputMessage="0" showErrorMessage="1" allowBlank="0" type="list">
      <ns0:formula1>"0.5,1"</ns0:formula1>
    </ns0:dataValidation>
  </ns0:dataValidations>
  <ns0:printOptions horizontalCentered="1"/>
  <ns0:pageMargins left="0.3" right="0.3" top="0.4" bottom="0.4" header="0.5" footer="0.5"/>
  <ns0:pageSetup orientation="landscape" paperSize="9" fitToHeight="0" fitToWidth="1"/>
  <ns0:legacyDrawing ns1:id="anysvml"/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tabColor rgb="0017364D"/>
    <ns0:outlinePr summaryBelow="1" summaryRight="0"/>
    <ns0:pageSetUpPr fitToPage="1"/>
  </ns0:sheetPr>
  <ns0:dimension ref="A1:T29"/>
  <ns0:sheetViews>
    <ns0:sheetView showGridLines="0" zoomScale="75" workbookViewId="0">
      <ns0:pane xSplit="2" ySplit="8" topLeftCell="C9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6" customWidth="1" min="1" max="1"/>
    <ns0:col width="28" customWidth="1" min="2" max="2"/>
    <ns0:col width="11" customWidth="1" min="3" max="3"/>
    <ns0:col width="11" customWidth="1" min="4" max="4"/>
    <ns0:col width="10" customWidth="1" min="5" max="5"/>
    <ns0:col width="11" customWidth="1" min="6" max="6"/>
    <ns0:col width="10" customWidth="1" min="7" max="7"/>
    <ns0:col width="10" customWidth="1" min="8" max="8"/>
    <ns0:col width="10" customWidth="1" min="9" max="9"/>
    <ns0:col width="16" customWidth="1" min="10" max="10"/>
    <ns0:col width="18" customWidth="1" min="11" max="11"/>
    <ns0:col width="57" customWidth="1" min="12" max="12"/>
    <ns0:col hidden="1" width="13" customWidth="1" min="14" max="14"/>
    <ns0:col hidden="1" width="13" customWidth="1" min="15" max="15"/>
    <ns0:col hidden="1" width="13" customWidth="1" min="16" max="16"/>
    <ns0:col hidden="1" width="13" customWidth="1" min="17" max="17"/>
    <ns0:col hidden="1" width="13" customWidth="1" min="18" max="18"/>
    <ns0:col hidden="1" width="13" customWidth="1" min="19" max="19"/>
    <ns0:col hidden="1" width="13" customWidth="1" min="20" max="20"/>
  </ns0:cols>
  <ns0:sheetData>
    <ns0:row r="1" ht="20" customHeight="1">
      <ns0:c r="A1" s="1" t="inlineStr">
        <ns0:is>
          <ns0:t>Delivery plan | same scope, variable team</ns0:t>
        </ns0:is>
      </ns0:c>
    </ns0:row>
    <ns0:row r="2" ht="20" customHeight="1"/>
    <ns0:row r="3" ht="30" customHeight="1">
      <ns0:c r="A3" s="2" t="inlineStr">
        <ns0:is>
          <ns0:t>Blue cells are editable work estimates and scheduling controls. Phases run in order; expert/support work can overlap inside each phase.</ns0:t>
        </ns0:is>
      </ns0:c>
    </ns0:row>
    <ns0:row r="4" ht="23" customHeight="1"/>
    <ns0:row r="5" ht="23" customHeight="1">
      <ns0:c r="A5" s="36" t="inlineStr">
        <ns0:is>
          <ns0:t>Forecast only. Pass evidence must be reviewed at the gate; a calculated finish date never means that a test passed. Expert = experienced developer. Support = work a junior can do under review.</ns0:t>
        </ns0:is>
      </ns0:c>
    </ns0:row>
    <ns0:row r="6" ht="23" customHeight="1"/>
    <ns0:row r="7" ht="23" customHeight="1"/>
    <ns0:row r="8" ht="36" customHeight="1">
      <ns0:c r="A8" s="37" t="inlineStr">
        <ns0:is>
          <ns0:t>ID</ns0:t>
        </ns0:is>
      </ns0:c>
      <ns0:c r="B8" s="38" t="inlineStr">
        <ns0:is>
          <ns0:t>Phase</ns0:t>
        </ns0:is>
      </ns0:c>
      <ns0:c r="C8" s="37" t="inlineStr">
        <ns0:is>
          <ns0:t>Expert-only
work (h)</ns0:t>
        </ns0:is>
      </ns0:c>
      <ns0:c r="D8" s="37" t="inlineStr">
        <ns0:is>
          <ns0:t>Support
work (h)</ns0:t>
        </ns0:is>
      </ns0:c>
      <ns0:c r="E8" s="37" t="inlineStr">
        <ns0:is>
          <ns0:t>Minimum
weeks</ns0:t>
        </ns0:is>
      </ns0:c>
      <ns0:c r="F8" s="37" t="inlineStr">
        <ns0:is>
          <ns0:t>Expert lead
slots</ns0:t>
        </ns0:is>
      </ns0:c>
      <ns0:c r="G8" s="37" t="inlineStr">
        <ns0:is>
          <ns0:t>Waiting
weeks</ns0:t>
        </ns0:is>
      </ns0:c>
      <ns0:c r="H8" s="37" t="inlineStr">
        <ns0:is>
          <ns0:t>Duration
weeks</ns0:t>
        </ns0:is>
      </ns0:c>
      <ns0:c r="I8" s="37" t="inlineStr">
        <ns0:is>
          <ns0:t>Finish
week</ns0:t>
        </ns0:is>
      </ns0:c>
      <ns0:c r="J8" s="37" t="inlineStr">
        <ns0:is>
          <ns0:t>Finish date</ns0:t>
        </ns0:is>
      </ns0:c>
      <ns0:c r="K8" s="37" t="inlineStr">
        <ns0:is>
          <ns0:t>Checkpoint</ns0:t>
        </ns0:is>
      </ns0:c>
      <ns0:c r="L8" s="37" t="inlineStr">
        <ns0:is>
          <ns0:t>Required evidence</ns0:t>
        </ns0:is>
      </ns0:c>
      <ns0:c r="N8" s="31" t="inlineStr">
        <ns0:is>
          <ns0:t>Junior pool h/w</ns0:t>
        </ns0:is>
      </ns0:c>
      <ns0:c r="O8" s="31" t="inlineStr">
        <ns0:is>
          <ns0:t>Expert critical h/w</ns0:t>
        </ns0:is>
      </ns0:c>
      <ns0:c r="P8" s="31" t="inlineStr">
        <ns0:is>
          <ns0:t>Expert total h/w</ns0:t>
        </ns0:is>
      </ns0:c>
      <ns0:c r="Q8" s="31" t="inlineStr">
        <ns0:is>
          <ns0:t>Combined h/w</ns0:t>
        </ns0:is>
      </ns0:c>
      <ns0:c r="R8" s="31" t="inlineStr">
        <ns0:is>
          <ns0:t>Raw duration</ns0:t>
        </ns0:is>
      </ns0:c>
      <ns0:c r="S8" s="31" t="inlineStr">
        <ns0:is>
          <ns0:t>Start offset weeks</ns0:t>
        </ns0:is>
      </ns0:c>
      <ns0:c r="T8" s="31" t="inlineStr">
        <ns0:is>
          <ns0:t>Phase input check</ns0:t>
        </ns0:is>
      </ns0:c>
    </ns0:row>
    <ns0:row r="9" ht="61" customHeight="1">
      <ns0:c r="A9" s="39" t="inlineStr">
        <ns0:is>
          <ns0:t>P1</ns0:t>
        </ns0:is>
      </ns0:c>
      <ns0:c r="B9" s="9" t="inlineStr">
        <ns0:is>
          <ns0:t>Recover the AAOS PoC</ns0:t>
        </ns0:is>
      </ns0:c>
      <ns0:c r="C9" s="26" t="n">
        <ns0:v>56</ns0:v>
      </ns0:c>
      <ns0:c r="D9" s="26" t="n">
        <ns0:v>24</ns0:v>
      </ns0:c>
      <ns0:c r="E9" s="28" t="n">
        <ns0:v>2</ns0:v>
      </ns0:c>
      <ns0:c r="F9" s="26" t="n">
        <ns0:v>1</ns0:v>
      </ns0:c>
      <ns0:c r="G9" s="28" t="n">
        <ns0:v>0</ns0:v>
      </ns0:c>
      <ns0:c r="H9" s="10" t="n">
        <ns0:f>IF(NOT(ISNUMBER(R9)),"",ROUNDUP(R9/Inputs!$C$23,0)*Inputs!$C$23)</ns0:f>
        <ns0:v>2</ns0:v>
      </ns0:c>
      <ns0:c r="I9" s="10" t="n">
        <ns0:f>IF(OR(NOT(ISNUMBER(H9)),NOT(ISNUMBER(S9))),"",S9+H9)</ns0:f>
        <ns0:v>2</ns0:v>
      </ns0:c>
      <ns0:c r="J9" s="11" t="n">
        <ns0:f>IF(I9="","",Inputs!$C$19+ROUNDUP(I9*Inputs!$C$25,0)-1)</ns0:f>
        <ns0:v>46292</ns0:v>
      </ns0:c>
      <ns0:c r="K9" s="18" t="inlineStr">
        <ns0:is>
          <ns0:t>Gate A</ns0:t>
        </ns0:is>
      </ns0:c>
      <ns0:c r="L9" s="18" t="inlineStr">
        <ns0:is>
          <ns0:t>Build, data access, dependencies, target risks and revised estimate.</ns0:t>
        </ns0:is>
      </ns0:c>
      <ns0:c r="N9" s="10" t="n">
        <ns0:f>MIN(Inputs!$C$6,Inputs!$C$17)*Inputs!$C$30</ns0:f>
        <ns0:v>12</ns0:v>
      </ns0:c>
      <ns0:c r="O9" s="10" t="n">
        <ns0:f>MIN(Inputs!$C$7,Inputs!$C$16,F9)*Inputs!$C$28</ns0:f>
        <ns0:v>28</ns0:v>
      </ns0:c>
      <ns0:c r="P9" s="10" t="n">
        <ns0:f>MIN(Inputs!$C$7,Inputs!$C$16)*Inputs!$C$28</ns0:f>
        <ns0:v>28</ns0:v>
      </ns0:c>
      <ns0:c r="Q9" s="10" t="n">
        <ns0:f>N9+P9</ns0:f>
        <ns0:v>40</ns0:v>
      </ns0:c>
      <ns0:c r="R9" s="10" t="n">
        <ns0:f>IF(OR(Inputs!$C$32&lt;&gt;"OK",T9&lt;&gt;"OK"),"",MAX(E9,C9*Inputs!$C$24/O9,(C9+D9)*Inputs!$C$24/Q9))</ns0:f>
        <ns0:v>2</ns0:v>
      </ns0:c>
      <ns0:c r="S9" s="10" t="n">
        <ns0:f>IF(OR(Inputs!$C$32&lt;&gt;"OK",T9&lt;&gt;"OK"),"",G9)</ns0:f>
        <ns0:v>0</ns0:v>
      </ns0:c>
      <ns0:c r="T9" s="10" t="str">
        <ns0:f>IF(OR(C9&lt;0,D9&lt;0,E9&lt;0,F9&lt;1,F9&lt;&gt;INT(F9),G9&lt;0),"BLOCKED","OK")</ns0:f>
        <ns0:v>OK</ns0:v>
      </ns0:c>
    </ns0:row>
    <ns0:row r="10" ht="61" customHeight="1">
      <ns0:c r="A10" s="39" t="inlineStr">
        <ns0:is>
          <ns0:t>P2</ns0:t>
        </ns0:is>
      </ns0:c>
      <ns0:c r="B10" s="9" t="inlineStr">
        <ns0:is>
          <ns0:t>Define contract and core</ns0:t>
        </ns0:is>
      </ns0:c>
      <ns0:c r="C10" s="26" t="n">
        <ns0:v>56</ns0:v>
      </ns0:c>
      <ns0:c r="D10" s="26" t="n">
        <ns0:v>48</ns0:v>
      </ns0:c>
      <ns0:c r="E10" s="28" t="n">
        <ns0:v>1</ns0:v>
      </ns0:c>
      <ns0:c r="F10" s="26" t="n">
        <ns0:v>2</ns0:v>
      </ns0:c>
      <ns0:c r="G10" s="28" t="n">
        <ns0:v>0</ns0:v>
      </ns0:c>
      <ns0:c r="H10" s="10" t="n">
        <ns0:f>IF(NOT(ISNUMBER(R10)),"",ROUNDUP(R10/Inputs!$C$23,0)*Inputs!$C$23)</ns0:f>
        <ns0:v>2</ns0:v>
      </ns0:c>
      <ns0:c r="I10" s="10" t="n">
        <ns0:f>IF(OR(NOT(ISNUMBER(H10)),NOT(ISNUMBER(S10))),"",S10+H10)</ns0:f>
        <ns0:v>4</ns0:v>
      </ns0:c>
      <ns0:c r="J10" s="11" t="n">
        <ns0:f>IF(I10="","",Inputs!$C$19+ROUNDUP(I10*Inputs!$C$25,0)-1)</ns0:f>
        <ns0:v>46306</ns0:v>
      </ns0:c>
      <ns0:c r="K10" s="18" t="inlineStr">
        <ns0:is>
          <ns0:t>Core foundation</ns0:t>
        </ns0:is>
      </ns0:c>
      <ns0:c r="L10" s="18" t="inlineStr">
        <ns0:is>
          <ns0:t>Agree signal meaning, triggers and ports; prepare deterministic tests.</ns0:t>
        </ns0:is>
      </ns0:c>
      <ns0:c r="N10" s="10" t="n">
        <ns0:f>MIN(Inputs!$C$6,Inputs!$C$17)*Inputs!$C$29</ns0:f>
        <ns0:v>24</ns0:v>
      </ns0:c>
      <ns0:c r="O10" s="10" t="n">
        <ns0:f>MIN(Inputs!$C$7,Inputs!$C$16,F10)*Inputs!$C$28</ns0:f>
        <ns0:v>28</ns0:v>
      </ns0:c>
      <ns0:c r="P10" s="10" t="n">
        <ns0:f>MIN(Inputs!$C$7,Inputs!$C$16)*Inputs!$C$28</ns0:f>
        <ns0:v>28</ns0:v>
      </ns0:c>
      <ns0:c r="Q10" s="10" t="n">
        <ns0:f>N10+P10</ns0:f>
        <ns0:v>52</ns0:v>
      </ns0:c>
      <ns0:c r="R10" s="10" t="n">
        <ns0:f>IF(OR(Inputs!$C$32&lt;&gt;"OK",T10&lt;&gt;"OK"),"",MAX(E10,C10*Inputs!$C$24/O10,(C10+D10)*Inputs!$C$24/Q10))</ns0:f>
        <ns0:v>2</ns0:v>
      </ns0:c>
      <ns0:c r="S10" s="10" t="n">
        <ns0:f>IF(OR(Inputs!$C$32&lt;&gt;"OK",T10&lt;&gt;"OK",I9=""),"",I9+G10)</ns0:f>
        <ns0:v>2</ns0:v>
      </ns0:c>
      <ns0:c r="T10" s="10" t="str">
        <ns0:f>IF(OR(C10&lt;0,D10&lt;0,E10&lt;0,F10&lt;1,F10&lt;&gt;INT(F10),G10&lt;0),"BLOCKED","OK")</ns0:f>
        <ns0:v>OK</ns0:v>
      </ns0:c>
    </ns0:row>
    <ns0:row r="11" ht="61" customHeight="1">
      <ns0:c r="A11" s="39" t="inlineStr">
        <ns0:is>
          <ns0:t>P3</ns0:t>
        </ns0:is>
      </ns0:c>
      <ns0:c r="B11" s="9" t="inlineStr">
        <ns0:is>
          <ns0:t>Approve the portable core</ns0:t>
        </ns0:is>
      </ns0:c>
      <ns0:c r="C11" s="26" t="n">
        <ns0:v>28</ns0:v>
      </ns0:c>
      <ns0:c r="D11" s="26" t="n">
        <ns0:v>24</ns0:v>
      </ns0:c>
      <ns0:c r="E11" s="28" t="n">
        <ns0:v>1</ns0:v>
      </ns0:c>
      <ns0:c r="F11" s="26" t="n">
        <ns0:v>1</ns0:v>
      </ns0:c>
      <ns0:c r="G11" s="28" t="n">
        <ns0:v>0</ns0:v>
      </ns0:c>
      <ns0:c r="H11" s="10" t="n">
        <ns0:f>IF(NOT(ISNUMBER(R11)),"",ROUNDUP(R11/Inputs!$C$23,0)*Inputs!$C$23)</ns0:f>
        <ns0:v>1</ns0:v>
      </ns0:c>
      <ns0:c r="I11" s="10" t="n">
        <ns0:f>IF(OR(NOT(ISNUMBER(H11)),NOT(ISNUMBER(S11))),"",S11+H11)</ns0:f>
        <ns0:v>5</ns0:v>
      </ns0:c>
      <ns0:c r="J11" s="11" t="n">
        <ns0:f>IF(I11="","",Inputs!$C$19+ROUNDUP(I11*Inputs!$C$25,0)-1)</ns0:f>
        <ns0:v>46313</ns0:v>
      </ns0:c>
      <ns0:c r="K11" s="18" t="inlineStr">
        <ns0:is>
          <ns0:t>Gate B</ns0:t>
        </ns0:is>
      </ns0:c>
      <ns0:c r="L11" s="18" t="inlineStr">
        <ns0:is>
          <ns0:t>S1-S2 pass; same-core host build; no Android/provider types in core.</ns0:t>
        </ns0:is>
      </ns0:c>
      <ns0:c r="N11" s="10" t="n">
        <ns0:f>MIN(Inputs!$C$6,Inputs!$C$17)*Inputs!$C$29</ns0:f>
        <ns0:v>24</ns0:v>
      </ns0:c>
      <ns0:c r="O11" s="10" t="n">
        <ns0:f>MIN(Inputs!$C$7,Inputs!$C$16,F11)*Inputs!$C$28</ns0:f>
        <ns0:v>28</ns0:v>
      </ns0:c>
      <ns0:c r="P11" s="10" t="n">
        <ns0:f>MIN(Inputs!$C$7,Inputs!$C$16)*Inputs!$C$28</ns0:f>
        <ns0:v>28</ns0:v>
      </ns0:c>
      <ns0:c r="Q11" s="10" t="n">
        <ns0:f>N11+P11</ns0:f>
        <ns0:v>52</ns0:v>
      </ns0:c>
      <ns0:c r="R11" s="10" t="n">
        <ns0:f>IF(OR(Inputs!$C$32&lt;&gt;"OK",T11&lt;&gt;"OK"),"",MAX(E11,C11*Inputs!$C$24/O11,(C11+D11)*Inputs!$C$24/Q11))</ns0:f>
        <ns0:v>1</ns0:v>
      </ns0:c>
      <ns0:c r="S11" s="10" t="n">
        <ns0:f>IF(OR(Inputs!$C$32&lt;&gt;"OK",T11&lt;&gt;"OK",I10=""),"",I10+G11)</ns0:f>
        <ns0:v>4</ns0:v>
      </ns0:c>
      <ns0:c r="T11" s="10" t="str">
        <ns0:f>IF(OR(C11&lt;0,D11&lt;0,E11&lt;0,F11&lt;1,F11&lt;&gt;INT(F11),G11&lt;0),"BLOCKED","OK")</ns0:f>
        <ns0:v>OK</ns0:v>
      </ns0:c>
    </ns0:row>
    <ns0:row r="12" ht="61" customHeight="1">
      <ns0:c r="A12" s="39" t="inlineStr">
        <ns0:is>
          <ns0:t>P4</ns0:t>
        </ns0:is>
      </ns0:c>
      <ns0:c r="B12" s="9" t="inlineStr">
        <ns0:is>
          <ns0:t>Bind the AAOS adapters</ns0:t>
        </ns0:is>
      </ns0:c>
      <ns0:c r="C12" s="26" t="n">
        <ns0:v>28</ns0:v>
      </ns0:c>
      <ns0:c r="D12" s="26" t="n">
        <ns0:v>24</ns0:v>
      </ns0:c>
      <ns0:c r="E12" s="28" t="n">
        <ns0:v>1</ns0:v>
      </ns0:c>
      <ns0:c r="F12" s="26" t="n">
        <ns0:v>1</ns0:v>
      </ns0:c>
      <ns0:c r="G12" s="28" t="n">
        <ns0:v>0</ns0:v>
      </ns0:c>
      <ns0:c r="H12" s="10" t="n">
        <ns0:f>IF(NOT(ISNUMBER(R12)),"",ROUNDUP(R12/Inputs!$C$23,0)*Inputs!$C$23)</ns0:f>
        <ns0:v>1</ns0:v>
      </ns0:c>
      <ns0:c r="I12" s="10" t="n">
        <ns0:f>IF(OR(NOT(ISNUMBER(H12)),NOT(ISNUMBER(S12))),"",S12+H12)</ns0:f>
        <ns0:v>6</ns0:v>
      </ns0:c>
      <ns0:c r="J12" s="11" t="n">
        <ns0:f>IF(I12="","",Inputs!$C$19+ROUNDUP(I12*Inputs!$C$25,0)-1)</ns0:f>
        <ns0:v>46320</ns0:v>
      </ns0:c>
      <ns0:c r="K12" s="18" t="inlineStr">
        <ns0:is>
          <ns0:t>AAOS integration</ns0:t>
        </ns0:is>
      </ns0:c>
      <ns0:c r="L12" s="18" t="inlineStr">
        <ns0:is>
          <ns0:t>Vehicle reads, lifecycle, permissions and mapping A use the core.</ns0:t>
        </ns0:is>
      </ns0:c>
      <ns0:c r="N12" s="10" t="n">
        <ns0:f>MIN(Inputs!$C$6,Inputs!$C$17)*Inputs!$C$29</ns0:f>
        <ns0:v>24</ns0:v>
      </ns0:c>
      <ns0:c r="O12" s="10" t="n">
        <ns0:f>MIN(Inputs!$C$7,Inputs!$C$16,F12)*Inputs!$C$28</ns0:f>
        <ns0:v>28</ns0:v>
      </ns0:c>
      <ns0:c r="P12" s="10" t="n">
        <ns0:f>MIN(Inputs!$C$7,Inputs!$C$16)*Inputs!$C$28</ns0:f>
        <ns0:v>28</ns0:v>
      </ns0:c>
      <ns0:c r="Q12" s="10" t="n">
        <ns0:f>N12+P12</ns0:f>
        <ns0:v>52</ns0:v>
      </ns0:c>
      <ns0:c r="R12" s="10" t="n">
        <ns0:f>IF(OR(Inputs!$C$32&lt;&gt;"OK",T12&lt;&gt;"OK"),"",MAX(E12,C12*Inputs!$C$24/O12,(C12+D12)*Inputs!$C$24/Q12))</ns0:f>
        <ns0:v>1</ns0:v>
      </ns0:c>
      <ns0:c r="S12" s="10" t="n">
        <ns0:f>IF(OR(Inputs!$C$32&lt;&gt;"OK",T12&lt;&gt;"OK",I11=""),"",I11+G12)</ns0:f>
        <ns0:v>5</ns0:v>
      </ns0:c>
      <ns0:c r="T12" s="10" t="str">
        <ns0:f>IF(OR(C12&lt;0,D12&lt;0,E12&lt;0,F12&lt;1,F12&lt;&gt;INT(F12),G12&lt;0),"BLOCKED","OK")</ns0:f>
        <ns0:v>OK</ns0:v>
      </ns0:c>
    </ns0:row>
    <ns0:row r="13" ht="61" customHeight="1">
      <ns0:c r="A13" s="39" t="inlineStr">
        <ns0:is>
          <ns0:t>P5</ns0:t>
        </ns0:is>
      </ns0:c>
      <ns0:c r="B13" s="9" t="inlineStr">
        <ns0:is>
          <ns0:t>Demonstrate MQTT path</ns0:t>
        </ns0:is>
      </ns0:c>
      <ns0:c r="C13" s="26" t="n">
        <ns0:v>56</ns0:v>
      </ns0:c>
      <ns0:c r="D13" s="26" t="n">
        <ns0:v>36</ns0:v>
      </ns0:c>
      <ns0:c r="E13" s="28" t="n">
        <ns0:v>1</ns0:v>
      </ns0:c>
      <ns0:c r="F13" s="26" t="n">
        <ns0:v>2</ns0:v>
      </ns0:c>
      <ns0:c r="G13" s="28" t="n">
        <ns0:v>0</ns0:v>
      </ns0:c>
      <ns0:c r="H13" s="10" t="n">
        <ns0:f>IF(NOT(ISNUMBER(R13)),"",ROUNDUP(R13/Inputs!$C$23,0)*Inputs!$C$23)</ns0:f>
        <ns0:v>2</ns0:v>
      </ns0:c>
      <ns0:c r="I13" s="10" t="n">
        <ns0:f>IF(OR(NOT(ISNUMBER(H13)),NOT(ISNUMBER(S13))),"",S13+H13)</ns0:f>
        <ns0:v>8</ns0:v>
      </ns0:c>
      <ns0:c r="J13" s="11" t="n">
        <ns0:f>IF(I13="","",Inputs!$C$19+ROUNDUP(I13*Inputs!$C$25,0)-1)</ns0:f>
        <ns0:v>46334</ns0:v>
      </ns0:c>
      <ns0:c r="K13" s="18" t="inlineStr">
        <ns0:is>
          <ns0:t>Reduced demo</ns0:t>
        </ns0:is>
      </ns0:c>
      <ns0:c r="L13" s="18" t="inlineStr">
        <ns0:is>
          <ns0:t>Mapping A -&gt; core -&gt; MQTT/TLS -&gt; receiver receipt. Downlink stays off.</ns0:t>
        </ns0:is>
      </ns0:c>
      <ns0:c r="N13" s="10" t="n">
        <ns0:f>MIN(Inputs!$C$6,Inputs!$C$17)*Inputs!$C$29</ns0:f>
        <ns0:v>24</ns0:v>
      </ns0:c>
      <ns0:c r="O13" s="10" t="n">
        <ns0:f>MIN(Inputs!$C$7,Inputs!$C$16,F13)*Inputs!$C$28</ns0:f>
        <ns0:v>28</ns0:v>
      </ns0:c>
      <ns0:c r="P13" s="10" t="n">
        <ns0:f>MIN(Inputs!$C$7,Inputs!$C$16)*Inputs!$C$28</ns0:f>
        <ns0:v>28</ns0:v>
      </ns0:c>
      <ns0:c r="Q13" s="10" t="n">
        <ns0:f>N13+P13</ns0:f>
        <ns0:v>52</ns0:v>
      </ns0:c>
      <ns0:c r="R13" s="10" t="n">
        <ns0:f>IF(OR(Inputs!$C$32&lt;&gt;"OK",T13&lt;&gt;"OK"),"",MAX(E13,C13*Inputs!$C$24/O13,(C13+D13)*Inputs!$C$24/Q13))</ns0:f>
        <ns0:v>2</ns0:v>
      </ns0:c>
      <ns0:c r="S13" s="10" t="n">
        <ns0:f>IF(OR(Inputs!$C$32&lt;&gt;"OK",T13&lt;&gt;"OK",I12=""),"",I12+G13)</ns0:f>
        <ns0:v>6</ns0:v>
      </ns0:c>
      <ns0:c r="T13" s="10" t="str">
        <ns0:f>IF(OR(C13&lt;0,D13&lt;0,E13&lt;0,F13&lt;1,F13&lt;&gt;INT(F13),G13&lt;0),"BLOCKED","OK")</ns0:f>
        <ns0:v>OK</ns0:v>
      </ns0:c>
    </ns0:row>
    <ns0:row r="14" ht="61" customHeight="1">
      <ns0:c r="A14" s="39" t="inlineStr">
        <ns0:is>
          <ns0:t>P6</ns0:t>
        </ns0:is>
      </ns0:c>
      <ns0:c r="B14" s="9" t="inlineStr">
        <ns0:is>
          <ns0:t>Prove HTTPS replacement</ns0:t>
        </ns0:is>
      </ns0:c>
      <ns0:c r="C14" s="26" t="n">
        <ns0:v>56</ns0:v>
      </ns0:c>
      <ns0:c r="D14" s="26" t="n">
        <ns0:v>40</ns0:v>
      </ns0:c>
      <ns0:c r="E14" s="28" t="n">
        <ns0:v>1</ns0:v>
      </ns0:c>
      <ns0:c r="F14" s="26" t="n">
        <ns0:v>2</ns0:v>
      </ns0:c>
      <ns0:c r="G14" s="28" t="n">
        <ns0:v>0</ns0:v>
      </ns0:c>
      <ns0:c r="H14" s="10" t="n">
        <ns0:f>IF(NOT(ISNUMBER(R14)),"",ROUNDUP(R14/Inputs!$C$23,0)*Inputs!$C$23)</ns0:f>
        <ns0:v>2</ns0:v>
      </ns0:c>
      <ns0:c r="I14" s="10" t="n">
        <ns0:f>IF(OR(NOT(ISNUMBER(H14)),NOT(ISNUMBER(S14))),"",S14+H14)</ns0:f>
        <ns0:v>10</ns0:v>
      </ns0:c>
      <ns0:c r="J14" s="11" t="n">
        <ns0:f>IF(I14="","",Inputs!$C$19+ROUNDUP(I14*Inputs!$C$25,0)-1)</ns0:f>
        <ns0:v>46348</ns0:v>
      </ns0:c>
      <ns0:c r="K14" s="18" t="inlineStr">
        <ns0:is>
          <ns0:t>S3</ns0:t>
        </ns0:is>
      </ns0:c>
      <ns0:c r="L14" s="18" t="inlineStr">
        <ns0:is>
          <ns0:t>Both paths preserve canonical data, IDs, decisions and receipt meaning.</ns0:t>
        </ns0:is>
      </ns0:c>
      <ns0:c r="N14" s="10" t="n">
        <ns0:f>MIN(Inputs!$C$6,Inputs!$C$17)*Inputs!$C$29</ns0:f>
        <ns0:v>24</ns0:v>
      </ns0:c>
      <ns0:c r="O14" s="10" t="n">
        <ns0:f>MIN(Inputs!$C$7,Inputs!$C$16,F14)*Inputs!$C$28</ns0:f>
        <ns0:v>28</ns0:v>
      </ns0:c>
      <ns0:c r="P14" s="10" t="n">
        <ns0:f>MIN(Inputs!$C$7,Inputs!$C$16)*Inputs!$C$28</ns0:f>
        <ns0:v>28</ns0:v>
      </ns0:c>
      <ns0:c r="Q14" s="10" t="n">
        <ns0:f>N14+P14</ns0:f>
        <ns0:v>52</ns0:v>
      </ns0:c>
      <ns0:c r="R14" s="10" t="n">
        <ns0:f>IF(OR(Inputs!$C$32&lt;&gt;"OK",T14&lt;&gt;"OK"),"",MAX(E14,C14*Inputs!$C$24/O14,(C14+D14)*Inputs!$C$24/Q14))</ns0:f>
        <ns0:v>2</ns0:v>
      </ns0:c>
      <ns0:c r="S14" s="10" t="n">
        <ns0:f>IF(OR(Inputs!$C$32&lt;&gt;"OK",T14&lt;&gt;"OK",I13=""),"",I13+G14)</ns0:f>
        <ns0:v>8</ns0:v>
      </ns0:c>
      <ns0:c r="T14" s="10" t="str">
        <ns0:f>IF(OR(C14&lt;0,D14&lt;0,E14&lt;0,F14&lt;1,F14&lt;&gt;INT(F14),G14&lt;0),"BLOCKED","OK")</ns0:f>
        <ns0:v>OK</ns0:v>
      </ns0:c>
    </ns0:row>
    <ns0:row r="15" ht="61" customHeight="1">
      <ns0:c r="A15" s="39" t="inlineStr">
        <ns0:is>
          <ns0:t>P7</ns0:t>
        </ns0:is>
      </ns0:c>
      <ns0:c r="B15" s="9" t="inlineStr">
        <ns0:is>
          <ns0:t>Prove offline recovery</ns0:t>
        </ns0:is>
      </ns0:c>
      <ns0:c r="C15" s="26" t="n">
        <ns0:v>84</ns0:v>
      </ns0:c>
      <ns0:c r="D15" s="26" t="n">
        <ns0:v>56</ns0:v>
      </ns0:c>
      <ns0:c r="E15" s="28" t="n">
        <ns0:v>2</ns0:v>
      </ns0:c>
      <ns0:c r="F15" s="26" t="n">
        <ns0:v>2</ns0:v>
      </ns0:c>
      <ns0:c r="G15" s="28" t="n">
        <ns0:v>0</ns0:v>
      </ns0:c>
      <ns0:c r="H15" s="10" t="n">
        <ns0:f>IF(NOT(ISNUMBER(R15)),"",ROUNDUP(R15/Inputs!$C$23,0)*Inputs!$C$23)</ns0:f>
        <ns0:v>3</ns0:v>
      </ns0:c>
      <ns0:c r="I15" s="10" t="n">
        <ns0:f>IF(OR(NOT(ISNUMBER(H15)),NOT(ISNUMBER(S15))),"",S15+H15)</ns0:f>
        <ns0:v>13</ns0:v>
      </ns0:c>
      <ns0:c r="J15" s="11" t="n">
        <ns0:f>IF(I15="","",Inputs!$C$19+ROUNDUP(I15*Inputs!$C$25,0)-1)</ns0:f>
        <ns0:v>46369</ns0:v>
      </ns0:c>
      <ns0:c r="K15" s="18" t="inlineStr">
        <ns0:is>
          <ns0:t>S4</ns0:t>
        </ns0:is>
      </ns0:c>
      <ns0:c r="L15" s="18" t="inlineStr">
        <ns0:is>
          <ns0:t>Bounded durable queue; crash/restart; retry, expiry and loss accounting.</ns0:t>
        </ns0:is>
      </ns0:c>
      <ns0:c r="N15" s="10" t="n">
        <ns0:f>MIN(Inputs!$C$6,Inputs!$C$17)*Inputs!$C$29</ns0:f>
        <ns0:v>24</ns0:v>
      </ns0:c>
      <ns0:c r="O15" s="10" t="n">
        <ns0:f>MIN(Inputs!$C$7,Inputs!$C$16,F15)*Inputs!$C$28</ns0:f>
        <ns0:v>28</ns0:v>
      </ns0:c>
      <ns0:c r="P15" s="10" t="n">
        <ns0:f>MIN(Inputs!$C$7,Inputs!$C$16)*Inputs!$C$28</ns0:f>
        <ns0:v>28</ns0:v>
      </ns0:c>
      <ns0:c r="Q15" s="10" t="n">
        <ns0:f>N15+P15</ns0:f>
        <ns0:v>52</ns0:v>
      </ns0:c>
      <ns0:c r="R15" s="10" t="n">
        <ns0:f>IF(OR(Inputs!$C$32&lt;&gt;"OK",T15&lt;&gt;"OK"),"",MAX(E15,C15*Inputs!$C$24/O15,(C15+D15)*Inputs!$C$24/Q15))</ns0:f>
        <ns0:v>3</ns0:v>
      </ns0:c>
      <ns0:c r="S15" s="10" t="n">
        <ns0:f>IF(OR(Inputs!$C$32&lt;&gt;"OK",T15&lt;&gt;"OK",I14=""),"",I14+G15)</ns0:f>
        <ns0:v>10</ns0:v>
      </ns0:c>
      <ns0:c r="T15" s="10" t="str">
        <ns0:f>IF(OR(C15&lt;0,D15&lt;0,E15&lt;0,F15&lt;1,F15&lt;&gt;INT(F15),G15&lt;0),"BLOCKED","OK")</ns0:f>
        <ns0:v>OK</ns0:v>
      </ns0:c>
    </ns0:row>
    <ns0:row r="16" ht="61" customHeight="1">
      <ns0:c r="A16" s="39" t="inlineStr">
        <ns0:is>
          <ns0:t>P8</ns0:t>
        </ns0:is>
      </ns0:c>
      <ns0:c r="B16" s="9" t="inlineStr">
        <ns0:is>
          <ns0:t>Secure one configuration</ns0:t>
        </ns0:is>
      </ns0:c>
      <ns0:c r="C16" s="26" t="n">
        <ns0:v>48</ns0:v>
      </ns0:c>
      <ns0:c r="D16" s="26" t="n">
        <ns0:v>30</ns0:v>
      </ns0:c>
      <ns0:c r="E16" s="28" t="n">
        <ns0:v>1</ns0:v>
      </ns0:c>
      <ns0:c r="F16" s="26" t="n">
        <ns0:v>1</ns0:v>
      </ns0:c>
      <ns0:c r="G16" s="28" t="n">
        <ns0:v>0</ns0:v>
      </ns0:c>
      <ns0:c r="H16" s="10" t="n">
        <ns0:f>IF(NOT(ISNUMBER(R16)),"",ROUNDUP(R16/Inputs!$C$23,0)*Inputs!$C$23)</ns0:f>
        <ns0:v>2</ns0:v>
      </ns0:c>
      <ns0:c r="I16" s="10" t="n">
        <ns0:f>IF(OR(NOT(ISNUMBER(H16)),NOT(ISNUMBER(S16))),"",S16+H16)</ns0:f>
        <ns0:v>15</ns0:v>
      </ns0:c>
      <ns0:c r="J16" s="11" t="n">
        <ns0:f>IF(I16="","",Inputs!$C$19+ROUNDUP(I16*Inputs!$C$25,0)-1)</ns0:f>
        <ns0:v>46383</ns0:v>
      </ns0:c>
      <ns0:c r="K16" s="18" t="inlineStr">
        <ns0:is>
          <ns0:t>S5</ns0:t>
        </ns0:is>
      </ns0:c>
      <ns0:c r="L16" s="18" t="inlineStr">
        <ns0:is>
          <ns0:t>Authorized profile update; reject replay/bad input; no vehicle writes.</ns0:t>
        </ns0:is>
      </ns0:c>
      <ns0:c r="N16" s="10" t="n">
        <ns0:f>MIN(Inputs!$C$6,Inputs!$C$17)*Inputs!$C$29</ns0:f>
        <ns0:v>24</ns0:v>
      </ns0:c>
      <ns0:c r="O16" s="10" t="n">
        <ns0:f>MIN(Inputs!$C$7,Inputs!$C$16,F16)*Inputs!$C$28</ns0:f>
        <ns0:v>28</ns0:v>
      </ns0:c>
      <ns0:c r="P16" s="10" t="n">
        <ns0:f>MIN(Inputs!$C$7,Inputs!$C$16)*Inputs!$C$28</ns0:f>
        <ns0:v>28</ns0:v>
      </ns0:c>
      <ns0:c r="Q16" s="10" t="n">
        <ns0:f>N16+P16</ns0:f>
        <ns0:v>52</ns0:v>
      </ns0:c>
      <ns0:c r="R16" s="10" t="n">
        <ns0:f>IF(OR(Inputs!$C$32&lt;&gt;"OK",T16&lt;&gt;"OK"),"",MAX(E16,C16*Inputs!$C$24/O16,(C16+D16)*Inputs!$C$24/Q16))</ns0:f>
        <ns0:v>1.7142857142857142</ns0:v>
      </ns0:c>
      <ns0:c r="S16" s="10" t="n">
        <ns0:f>IF(OR(Inputs!$C$32&lt;&gt;"OK",T16&lt;&gt;"OK",I15=""),"",I15+G16)</ns0:f>
        <ns0:v>13</ns0:v>
      </ns0:c>
      <ns0:c r="T16" s="10" t="str">
        <ns0:f>IF(OR(C16&lt;0,D16&lt;0,E16&lt;0,F16&lt;1,F16&lt;&gt;INT(F16),G16&lt;0),"BLOCKED","OK")</ns0:f>
        <ns0:v>OK</ns0:v>
      </ns0:c>
    </ns0:row>
    <ns0:row r="17" ht="61" customHeight="1">
      <ns0:c r="A17" s="39" t="inlineStr">
        <ns0:is>
          <ns0:t>P9</ns0:t>
        </ns0:is>
      </ns0:c>
      <ns0:c r="B17" s="9" t="inlineStr">
        <ns0:is>
          <ns0:t>Prove reuse and hand over</ns0:t>
        </ns0:is>
      </ns0:c>
      <ns0:c r="C17" s="26" t="n">
        <ns0:v>64</ns0:v>
      </ns0:c>
      <ns0:c r="D17" s="26" t="n">
        <ns0:v>70</ns0:v>
      </ns0:c>
      <ns0:c r="E17" s="28" t="n">
        <ns0:v>2</ns0:v>
      </ns0:c>
      <ns0:c r="F17" s="26" t="n">
        <ns0:v>2</ns0:v>
      </ns0:c>
      <ns0:c r="G17" s="28" t="n">
        <ns0:v>0</ns0:v>
      </ns0:c>
      <ns0:c r="H17" s="10" t="n">
        <ns0:f>IF(NOT(ISNUMBER(R17)),"",ROUNDUP(R17/Inputs!$C$23,0)*Inputs!$C$23)</ns0:f>
        <ns0:v>3</ns0:v>
      </ns0:c>
      <ns0:c r="I17" s="10" t="n">
        <ns0:f>IF(OR(NOT(ISNUMBER(H17)),NOT(ISNUMBER(S17))),"",S17+H17)</ns0:f>
        <ns0:v>18</ns0:v>
      </ns0:c>
      <ns0:c r="J17" s="11" t="n">
        <ns0:f>IF(I17="","",Inputs!$C$19+ROUNDUP(I17*Inputs!$C$25,0)-1)</ns0:f>
        <ns0:v>46404</ns0:v>
      </ns0:c>
      <ns0:c r="K17" s="18" t="inlineStr">
        <ns0:is>
          <ns0:t>Gate C / D-Design</ns0:t>
        </ns0:is>
      </ns0:c>
      <ns0:c r="L17" s="18" t="inlineStr">
        <ns0:is>
          <ns0:t>A/B x MQTT/HTTPS; S1-S6; freeze, runbook and substantiated port design.</ns0:t>
        </ns0:is>
      </ns0:c>
      <ns0:c r="N17" s="10" t="n">
        <ns0:f>MIN(Inputs!$C$6,Inputs!$C$17)*Inputs!$C$29</ns0:f>
        <ns0:v>24</ns0:v>
      </ns0:c>
      <ns0:c r="O17" s="10" t="n">
        <ns0:f>MIN(Inputs!$C$7,Inputs!$C$16,F17)*Inputs!$C$28</ns0:f>
        <ns0:v>28</ns0:v>
      </ns0:c>
      <ns0:c r="P17" s="10" t="n">
        <ns0:f>MIN(Inputs!$C$7,Inputs!$C$16)*Inputs!$C$28</ns0:f>
        <ns0:v>28</ns0:v>
      </ns0:c>
      <ns0:c r="Q17" s="10" t="n">
        <ns0:f>N17+P17</ns0:f>
        <ns0:v>52</ns0:v>
      </ns0:c>
      <ns0:c r="R17" s="10" t="n">
        <ns0:f>IF(OR(Inputs!$C$32&lt;&gt;"OK",T17&lt;&gt;"OK"),"",MAX(E17,C17*Inputs!$C$24/O17,(C17+D17)*Inputs!$C$24/Q17))</ns0:f>
        <ns0:v>2.576923076923077</ns0:v>
      </ns0:c>
      <ns0:c r="S17" s="10" t="n">
        <ns0:f>IF(OR(Inputs!$C$32&lt;&gt;"OK",T17&lt;&gt;"OK",I16=""),"",I16+G17)</ns0:f>
        <ns0:v>15</ns0:v>
      </ns0:c>
      <ns0:c r="T17" s="10" t="str">
        <ns0:f>IF(OR(C17&lt;0,D17&lt;0,E17&lt;0,F17&lt;1,F17&lt;&gt;INT(F17),G17&lt;0),"BLOCKED","OK")</ns0:f>
        <ns0:v>OK</ns0:v>
      </ns0:c>
    </ns0:row>
    <ns0:row r="18" ht="23" customHeight="1"/>
    <ns0:row r="19" ht="23" customHeight="1"/>
    <ns0:row r="20" ht="23" customHeight="1">
      <ns0:c r="B20" s="9" t="inlineStr">
        <ns0:is>
          <ns0:t>BASE TOTAL</ns0:t>
        </ns0:is>
      </ns0:c>
      <ns0:c r="C20" s="40" t="n">
        <ns0:f>SUM(C9:C17)</ns0:f>
        <ns0:v>476</ns0:v>
      </ns0:c>
      <ns0:c r="D20" s="40" t="n">
        <ns0:f>SUM(D9:D17)</ns0:f>
        <ns0:v>352</ns0:v>
      </ns0:c>
      <ns0:c r="G20" s="40" t="n">
        <ns0:f>SUM(G9:G17)</ns0:f>
        <ns0:v>0</ns0:v>
      </ns0:c>
      <ns0:c r="H20" s="40" t="n">
        <ns0:f>SUM(H9:H17)</ns0:f>
        <ns0:v>18</ns0:v>
      </ns0:c>
      <ns0:c r="I20" s="40" t="n">
        <ns0:f>IF(OR(Inputs!C32&lt;&gt;"OK",COUNT(I9:I17)&lt;&gt;9),"",I17)</ns0:f>
        <ns0:v>18</ns0:v>
      </ns0:c>
      <ns0:c r="J20" s="41" t="n">
        <ns0:f>IF(I20="","",J17)</ns0:f>
        <ns0:v>46404</ns0:v>
      </ns0:c>
    </ns0:row>
    <ns0:row r="21" ht="23" customHeight="1"/>
    <ns0:row r="22" ht="23" customHeight="1">
      <ns0:c r="A22" s="42" t="inlineStr">
        <ns0:is>
          <ns0:t>Work is not the same as staffed time. Default estimates total 828 accepted-work hours; nominal staffing includes mentoring, learning, coordination and capacity that cannot always be used on the critical path.</ns0:t>
        </ns0:is>
      </ns0:c>
    </ns0:row>
    <ns0:row r="23" ht="23" customHeight="1"/>
    <ns0:row r="24" ht="23" customHeight="1"/>
    <ns0:row r="25" ht="23" customHeight="1">
      <ns0:c r="A25" s="18" t="inlineStr">
        <ns0:is>
          <ns0:t>Phase duration = round up the largest of: minimum weeks, expert-only work / expert lead capacity, or all work / combined capacity. Waits are then added. Expert capacity can cover support work without being counted twice.</ns0:t>
        </ns0:is>
      </ns0:c>
    </ns0:row>
    <ns0:row r="26" ht="23" customHeight="1"/>
    <ns0:row r="27" ht="23" customHeight="1"/>
    <ns0:row r="28" ht="23" customHeight="1">
      <ns0:c r="A28" s="2" t="inlineStr">
        <ns0:is>
          <ns0:t>Source: DAR v1.0, sections 12-20B. P3/P4 split the W5-W6 source workload equally. Expert lead slots, minimum weeks, parallel caps, rounding and waiting controls are proposed model assumptions. All estimates need Gate A review.</ns0:t>
        </ns0:is>
      </ns0:c>
    </ns0:row>
    <ns0:row r="29" ht="23" customHeight="1"/>
    <ns0:row r="30" ht="23" customHeight="1"/>
    <ns0:row r="31" ht="23" customHeight="1"/>
    <ns0:row r="32" ht="23" customHeight="1"/>
    <ns0:row r="33" ht="23" customHeight="1"/>
    <ns0:row r="34" ht="23" customHeight="1"/>
    <ns0:row r="35" ht="23" customHeight="1"/>
    <ns0:row r="36" ht="23" customHeight="1"/>
    <ns0:row r="37" ht="23" customHeight="1"/>
    <ns0:row r="38" ht="23" customHeight="1"/>
    <ns0:row r="39" ht="23" customHeight="1"/>
    <ns0:row r="40" ht="23" customHeight="1"/>
    <ns0:row r="41" ht="23" customHeight="1"/>
    <ns0:row r="42" ht="23" customHeight="1"/>
    <ns0:row r="43" ht="23" customHeight="1"/>
    <ns0:row r="44" ht="23" customHeight="1"/>
    <ns0:row r="45" ht="23" customHeight="1"/>
    <ns0:row r="46" ht="23" customHeight="1"/>
    <ns0:row r="47" ht="23" customHeight="1"/>
    <ns0:row r="48" ht="23" customHeight="1"/>
    <ns0:row r="49" ht="23" customHeight="1"/>
    <ns0:row r="50" ht="23" customHeight="1"/>
    <ns0:row r="51" ht="23" customHeight="1"/>
    <ns0:row r="52" ht="23" customHeight="1"/>
    <ns0:row r="53" ht="23" customHeight="1"/>
    <ns0:row r="54" ht="23" customHeight="1"/>
    <ns0:row r="55" ht="23" customHeight="1"/>
    <ns0:row r="56" ht="23" customHeight="1"/>
    <ns0:row r="57" ht="23" customHeight="1"/>
    <ns0:row r="58" ht="23" customHeight="1"/>
    <ns0:row r="59" ht="23" customHeight="1"/>
    <ns0:row r="60" ht="23" customHeight="1"/>
    <ns0:row r="61" ht="23" customHeight="1"/>
    <ns0:row r="62" ht="23" customHeight="1"/>
    <ns0:row r="63" ht="23" customHeight="1"/>
    <ns0:row r="64" ht="23" customHeight="1"/>
  </ns0:sheetData>
  <ns0:autoFilter ref="A8:L17"/>
  <ns0:mergeCells count="6">
    <ns0:mergeCell ref="A28:L29"/>
    <ns0:mergeCell ref="A1:L2"/>
    <ns0:mergeCell ref="A5:L6"/>
    <ns0:mergeCell ref="A22:L23"/>
    <ns0:mergeCell ref="A3:L3"/>
    <ns0:mergeCell ref="A25:L26"/>
  </ns0:mergeCells>
  <ns0:dataValidations count="45">
    <ns0:dataValidation sqref="C9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D9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E9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G9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F9" showDropDown="0" showInputMessage="0" showErrorMessage="1" allowBlank="0" errorTitle="Check this planning input" error="Enter a value between 1 and 20." type="whole" errorStyle="stop" operator="between">
      <ns0:formula1>1</ns0:formula1>
      <ns0:formula2>20</ns0:formula2>
    </ns0:dataValidation>
    <ns0:dataValidation sqref="C10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D10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E10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G10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F10" showDropDown="0" showInputMessage="0" showErrorMessage="1" allowBlank="0" errorTitle="Check this planning input" error="Enter a value between 1 and 20." type="whole" errorStyle="stop" operator="between">
      <ns0:formula1>1</ns0:formula1>
      <ns0:formula2>20</ns0:formula2>
    </ns0:dataValidation>
    <ns0:dataValidation sqref="C11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D11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E11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G11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F11" showDropDown="0" showInputMessage="0" showErrorMessage="1" allowBlank="0" errorTitle="Check this planning input" error="Enter a value between 1 and 20." type="whole" errorStyle="stop" operator="between">
      <ns0:formula1>1</ns0:formula1>
      <ns0:formula2>20</ns0:formula2>
    </ns0:dataValidation>
    <ns0:dataValidation sqref="C12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D12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E12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G12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F12" showDropDown="0" showInputMessage="0" showErrorMessage="1" allowBlank="0" errorTitle="Check this planning input" error="Enter a value between 1 and 20." type="whole" errorStyle="stop" operator="between">
      <ns0:formula1>1</ns0:formula1>
      <ns0:formula2>20</ns0:formula2>
    </ns0:dataValidation>
    <ns0:dataValidation sqref="C13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D13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E13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G13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F13" showDropDown="0" showInputMessage="0" showErrorMessage="1" allowBlank="0" errorTitle="Check this planning input" error="Enter a value between 1 and 20." type="whole" errorStyle="stop" operator="between">
      <ns0:formula1>1</ns0:formula1>
      <ns0:formula2>20</ns0:formula2>
    </ns0:dataValidation>
    <ns0:dataValidation sqref="C14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D14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E14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G14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F14" showDropDown="0" showInputMessage="0" showErrorMessage="1" allowBlank="0" errorTitle="Check this planning input" error="Enter a value between 1 and 20." type="whole" errorStyle="stop" operator="between">
      <ns0:formula1>1</ns0:formula1>
      <ns0:formula2>20</ns0:formula2>
    </ns0:dataValidation>
    <ns0:dataValidation sqref="C15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D15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E15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G15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F15" showDropDown="0" showInputMessage="0" showErrorMessage="1" allowBlank="0" errorTitle="Check this planning input" error="Enter a value between 1 and 20." type="whole" errorStyle="stop" operator="between">
      <ns0:formula1>1</ns0:formula1>
      <ns0:formula2>20</ns0:formula2>
    </ns0:dataValidation>
    <ns0:dataValidation sqref="C16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D16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E16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G16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F16" showDropDown="0" showInputMessage="0" showErrorMessage="1" allowBlank="0" errorTitle="Check this planning input" error="Enter a value between 1 and 20." type="whole" errorStyle="stop" operator="between">
      <ns0:formula1>1</ns0:formula1>
      <ns0:formula2>20</ns0:formula2>
    </ns0:dataValidation>
    <ns0:dataValidation sqref="C17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D17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E17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G17" showDropDown="0" showInputMessage="0" showErrorMessage="1" allowBlank="0" errorTitle="Check this planning input" error="Enter a value between 0 and 10000." type="decimal" errorStyle="stop" operator="between">
      <ns0:formula1>0</ns0:formula1>
      <ns0:formula2>10000</ns0:formula2>
    </ns0:dataValidation>
    <ns0:dataValidation sqref="F17" showDropDown="0" showInputMessage="0" showErrorMessage="1" allowBlank="0" errorTitle="Check this planning input" error="Enter a value between 1 and 20." type="whole" errorStyle="stop" operator="between">
      <ns0:formula1>1</ns0:formula1>
      <ns0:formula2>20</ns0:formula2>
    </ns0:dataValidation>
  </ns0:dataValidations>
  <ns0:printOptions horizontalCentered="1"/>
  <ns0:pageMargins left="0.3" right="0.3" top="0.4" bottom="0.4" header="0.5" footer="0.5"/>
  <ns0:pageSetup orientation="landscape" paperSize="9" fitToHeight="0" fitToWidth="1"/>
  <ns0:legacyDrawing ns1:id="anysvml"/>
</ns0:worksheet>
</file>

<file path=xl/worksheets/sheet4.xml><?xml version="1.0" encoding="utf-8"?>
<ns0:worksheet xmlns:ns0="http://schemas.openxmlformats.org/spreadsheetml/2006/main">
  <ns0:sheetPr>
    <ns0:tabColor rgb="0017364D"/>
    <ns0:outlinePr summaryBelow="1" summaryRight="0"/>
    <ns0:pageSetUpPr fitToPage="1"/>
  </ns0:sheetPr>
  <ns0:dimension ref="A1:W25"/>
  <ns0:sheetViews>
    <ns0:sheetView showGridLines="0" zoomScale="85" workbookViewId="0">
      <ns0:pane xSplit="1" ySplit="8" topLeftCell="B9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4" customWidth="1" min="1" max="1"/>
    <ns0:col width="13" customWidth="1" min="2" max="2"/>
    <ns0:col width="12" customWidth="1" min="3" max="3"/>
    <ns0:col width="11" customWidth="1" min="4" max="4"/>
    <ns0:col width="12" customWidth="1" min="5" max="5"/>
    <ns0:col width="12" customWidth="1" min="6" max="6"/>
    <ns0:col width="14" customWidth="1" min="7" max="7"/>
    <ns0:col width="19" customWidth="1" min="8" max="8"/>
    <ns0:col width="45" customWidth="1" min="9" max="9"/>
    <ns0:col hidden="1" width="13" customWidth="1" min="10" max="10"/>
    <ns0:col hidden="1" width="13" customWidth="1" min="11" max="11"/>
    <ns0:col hidden="1" width="13" customWidth="1" min="12" max="12"/>
    <ns0:col hidden="1" width="13" customWidth="1" min="13" max="13"/>
    <ns0:col hidden="1" width="13" customWidth="1" min="14" max="14"/>
    <ns0:col hidden="1" width="13" customWidth="1" min="15" max="15"/>
    <ns0:col hidden="1" width="13" customWidth="1" min="16" max="16"/>
    <ns0:col hidden="1" width="13" customWidth="1" min="17" max="17"/>
    <ns0:col hidden="1" width="13" customWidth="1" min="18" max="18"/>
    <ns0:col hidden="1" width="13" customWidth="1" min="19" max="19"/>
    <ns0:col hidden="1" width="13" customWidth="1" min="20" max="20"/>
    <ns0:col hidden="1" width="13" customWidth="1" min="21" max="21"/>
    <ns0:col hidden="1" width="13" customWidth="1" min="22" max="22"/>
    <ns0:col hidden="1" width="13" customWidth="1" min="23" max="23"/>
  </ns0:cols>
  <ns0:sheetData>
    <ns0:row r="1" ht="20" customHeight="1">
      <ns0:c r="A1" s="1" t="inlineStr">
        <ns0:is>
          <ns0:t>Compare team sizes</ns0:t>
        </ns0:is>
      </ns0:c>
    </ns0:row>
    <ns0:row r="2" ht="20" customHeight="1"/>
    <ns0:row r="3" ht="30" customHeight="1">
      <ns0:c r="A3" s="2" t="inlineStr">
        <ns0:is>
          <ns0:t>The scope and work estimates stay the same. Scenarios use all other current Inputs and Plan assumptions.</ns0:t>
        </ns0:is>
      </ns0:c>
    </ns0:row>
    <ns0:row r="4" ht="23" customHeight="1"/>
    <ns0:row r="5" ht="23" customHeight="1">
      <ns0:c r="A5" s="36" t="inlineStr">
        <ns0:is>
          <ns0:t>The first row follows Inputs. Other rows are editable examples, not staffing recommendations. A larger junior team can increase the senior mentoring load and delay expert-critical work.</ns0:t>
        </ns0:is>
      </ns0:c>
    </ns0:row>
    <ns0:row r="6" ht="23" customHeight="1"/>
    <ns0:row r="7" ht="23" customHeight="1"/>
    <ns0:row r="8" ht="36" customHeight="1">
      <ns0:c r="A8" s="37" t="inlineStr">
        <ns0:is>
          <ns0:t>Scenario</ns0:t>
        </ns0:is>
      </ns0:c>
      <ns0:c r="B8" s="38" t="inlineStr">
        <ns0:is>
          <ns0:t>Experienced</ns0:t>
        </ns0:is>
      </ns0:c>
      <ns0:c r="C8" s="37" t="inlineStr">
        <ns0:is>
          <ns0:t>Junior</ns0:t>
        </ns0:is>
      </ns0:c>
      <ns0:c r="D8" s="37" t="inlineStr">
        <ns0:is>
          <ns0:t>Total</ns0:t>
        </ns0:is>
      </ns0:c>
      <ns0:c r="E8" s="37" t="inlineStr">
        <ns0:is>
          <ns0:t>Demo
week</ns0:t>
        </ns0:is>
      </ns0:c>
      <ns0:c r="F8" s="37" t="inlineStr">
        <ns0:is>
          <ns0:t>Full MVP
week</ns0:t>
        </ns0:is>
      </ns0:c>
      <ns0:c r="G8" s="37" t="inlineStr">
        <ns0:is>
          <ns0:t>With reserve
week</ns0:t>
        </ns0:is>
      </ns0:c>
      <ns0:c r="H8" s="37" t="inlineStr">
        <ns0:is>
          <ns0:t>Nominal
allocated hours</ns0:t>
        </ns0:is>
      </ns0:c>
      <ns0:c r="I8" s="37" t="inlineStr">
        <ns0:is>
          <ns0:t>Interpretation</ns0:t>
        </ns0:is>
      </ns0:c>
    </ns0:row>
    <ns0:row r="9" ht="57" customHeight="1">
      <ns0:c r="A9" s="9" t="inlineStr">
        <ns0:is>
          <ns0:t>Current inputs</ns0:t>
        </ns0:is>
      </ns0:c>
      <ns0:c r="B9" s="43" t="n">
        <ns0:f>Inputs!C7</ns0:f>
        <ns0:v>1</ns0:v>
      </ns0:c>
      <ns0:c r="C9" s="43" t="n">
        <ns0:f>Inputs!C6</ns0:f>
        <ns0:v>1</ns0:v>
      </ns0:c>
      <ns0:c r="D9" s="44" t="n">
        <ns0:f>B9+C9</ns0:f>
        <ns0:v>2</ns0:v>
      </ns0:c>
      <ns0:c r="E9" s="40" t="n">
        <ns0:f>IF(J9&lt;&gt;"OK","",SUM(O9:S9)+SUM(Plan!$G$9:$G$13))</ns0:f>
        <ns0:v>8</ns0:v>
      </ns0:c>
      <ns0:c r="F9" s="40" t="n">
        <ns0:f>IF(J9&lt;&gt;"OK","",SUM(O9:W9)+SUM(Plan!$G$9:$G$17))</ns0:f>
        <ns0:v>18</ns0:v>
      </ns0:c>
      <ns0:c r="G9" s="40" t="n">
        <ns0:f>IF(F9="","",F9+Inputs!$C$22)</ns0:f>
        <ns0:v>20</ns0:v>
      </ns0:c>
      <ns0:c r="H9" s="45" t="n">
        <ns0:f>IF(F9="","",F9*Inputs!$C$8*(B9*Inputs!$C$9+C9*Inputs!$C$10))</ns0:f>
        <ns0:v>1440</ns0:v>
      </ns0:c>
      <ns0:c r="I9" s="18" t="inlineStr">
        <ns0:is>
          <ns0:t>Live forecast for the selected team.</ns0:t>
        </ns0:is>
      </ns0:c>
      <ns0:c r="J9" s="6" t="str">
        <ns0:f>IF(OR(Inputs!$C$32&lt;&gt;"OK",B9&lt;1,B9&lt;&gt;INT(B9),C9&lt;0,C9&lt;&gt;INT(C9),K9&lt;=0,COUNTIF(Plan!$T$9:$T$17,"BLOCKED")&gt;0),"BLOCKED","OK")</ns0:f>
        <ns0:v>OK</ns0:v>
      </ns0:c>
      <ns0:c r="K9" s="6" t="n">
        <ns0:f>MAX(0,B9*Inputs!$C$8*Inputs!$C$9*Inputs!$C$12-C9*Inputs!$C$10*Inputs!$C$15)</ns0:f>
        <ns0:v>28</ns0:v>
      </ns0:c>
      <ns0:c r="L9" s="6" t="n">
        <ns0:f>IF(B9&gt;0,K9/B9,0)</ns0:f>
        <ns0:v>28</ns0:v>
      </ns0:c>
      <ns0:c r="M9" s="6" t="n">
        <ns0:f>MIN(C9,Inputs!$C$17)*Inputs!$C$29</ns0:f>
        <ns0:v>24</ns0:v>
      </ns0:c>
      <ns0:c r="N9" s="6" t="n">
        <ns0:f>MIN(C9,Inputs!$C$17)*Inputs!$C$30</ns0:f>
        <ns0:v>12</ns0:v>
      </ns0:c>
      <ns0:c r="O9" s="6" t="n">
        <ns0:f>IF(J9&lt;&gt;"OK","",ROUNDUP(MAX(Plan!$E$9,Plan!$C$9*Inputs!$C$24/(MIN(B9,Inputs!$C$16,Plan!$F$9)*L9),(Plan!$C$9+Plan!$D$9)*Inputs!$C$24/(MIN(B9,Inputs!$C$16)*L9+N9))/Inputs!$C$23,0)*Inputs!$C$23)</ns0:f>
        <ns0:v>2</ns0:v>
      </ns0:c>
      <ns0:c r="P9" s="6" t="n">
        <ns0:f>IF(J9&lt;&gt;"OK","",ROUNDUP(MAX(Plan!$E$10,Plan!$C$10*Inputs!$C$24/(MIN(B9,Inputs!$C$16,Plan!$F$10)*L9),(Plan!$C$10+Plan!$D$10)*Inputs!$C$24/(MIN(B9,Inputs!$C$16)*L9+M9))/Inputs!$C$23,0)*Inputs!$C$23)</ns0:f>
        <ns0:v>2</ns0:v>
      </ns0:c>
      <ns0:c r="Q9" s="6" t="n">
        <ns0:f>IF(J9&lt;&gt;"OK","",ROUNDUP(MAX(Plan!$E$11,Plan!$C$11*Inputs!$C$24/(MIN(B9,Inputs!$C$16,Plan!$F$11)*L9),(Plan!$C$11+Plan!$D$11)*Inputs!$C$24/(MIN(B9,Inputs!$C$16)*L9+M9))/Inputs!$C$23,0)*Inputs!$C$23)</ns0:f>
        <ns0:v>1</ns0:v>
      </ns0:c>
      <ns0:c r="R9" s="6" t="n">
        <ns0:f>IF(J9&lt;&gt;"OK","",ROUNDUP(MAX(Plan!$E$12,Plan!$C$12*Inputs!$C$24/(MIN(B9,Inputs!$C$16,Plan!$F$12)*L9),(Plan!$C$12+Plan!$D$12)*Inputs!$C$24/(MIN(B9,Inputs!$C$16)*L9+M9))/Inputs!$C$23,0)*Inputs!$C$23)</ns0:f>
        <ns0:v>1</ns0:v>
      </ns0:c>
      <ns0:c r="S9" s="6" t="n">
        <ns0:f>IF(J9&lt;&gt;"OK","",ROUNDUP(MAX(Plan!$E$13,Plan!$C$13*Inputs!$C$24/(MIN(B9,Inputs!$C$16,Plan!$F$13)*L9),(Plan!$C$13+Plan!$D$13)*Inputs!$C$24/(MIN(B9,Inputs!$C$16)*L9+M9))/Inputs!$C$23,0)*Inputs!$C$23)</ns0:f>
        <ns0:v>2</ns0:v>
      </ns0:c>
      <ns0:c r="T9" s="6" t="n">
        <ns0:f>IF(J9&lt;&gt;"OK","",ROUNDUP(MAX(Plan!$E$14,Plan!$C$14*Inputs!$C$24/(MIN(B9,Inputs!$C$16,Plan!$F$14)*L9),(Plan!$C$14+Plan!$D$14)*Inputs!$C$24/(MIN(B9,Inputs!$C$16)*L9+M9))/Inputs!$C$23,0)*Inputs!$C$23)</ns0:f>
        <ns0:v>2</ns0:v>
      </ns0:c>
      <ns0:c r="U9" s="6" t="n">
        <ns0:f>IF(J9&lt;&gt;"OK","",ROUNDUP(MAX(Plan!$E$15,Plan!$C$15*Inputs!$C$24/(MIN(B9,Inputs!$C$16,Plan!$F$15)*L9),(Plan!$C$15+Plan!$D$15)*Inputs!$C$24/(MIN(B9,Inputs!$C$16)*L9+M9))/Inputs!$C$23,0)*Inputs!$C$23)</ns0:f>
        <ns0:v>3</ns0:v>
      </ns0:c>
      <ns0:c r="V9" s="6" t="n">
        <ns0:f>IF(J9&lt;&gt;"OK","",ROUNDUP(MAX(Plan!$E$16,Plan!$C$16*Inputs!$C$24/(MIN(B9,Inputs!$C$16,Plan!$F$16)*L9),(Plan!$C$16+Plan!$D$16)*Inputs!$C$24/(MIN(B9,Inputs!$C$16)*L9+M9))/Inputs!$C$23,0)*Inputs!$C$23)</ns0:f>
        <ns0:v>2</ns0:v>
      </ns0:c>
      <ns0:c r="W9" s="6" t="n">
        <ns0:f>IF(J9&lt;&gt;"OK","",ROUNDUP(MAX(Plan!$E$17,Plan!$C$17*Inputs!$C$24/(MIN(B9,Inputs!$C$16,Plan!$F$17)*L9),(Plan!$C$17+Plan!$D$17)*Inputs!$C$24/(MIN(B9,Inputs!$C$16)*L9+M9))/Inputs!$C$23,0)*Inputs!$C$23)</ns0:f>
        <ns0:v>3</ns0:v>
      </ns0:c>
    </ns0:row>
    <ns0:row r="10" ht="57" customHeight="1">
      <ns0:c r="A10" s="46" t="str">
        <ns0:f>D10&amp;" developers"</ns0:f>
        <ns0:v>2 developers</ns0:v>
      </ns0:c>
      <ns0:c r="B10" s="26" t="n">
        <ns0:v>1</ns0:v>
      </ns0:c>
      <ns0:c r="C10" s="26" t="n">
        <ns0:v>1</ns0:v>
      </ns0:c>
      <ns0:c r="D10" s="44" t="n">
        <ns0:f>B10+C10</ns0:f>
        <ns0:v>2</ns0:v>
      </ns0:c>
      <ns0:c r="E10" s="10" t="n">
        <ns0:f>IF(J10&lt;&gt;"OK","",SUM(O10:S10)+SUM(Plan!$G$9:$G$13))</ns0:f>
        <ns0:v>8</ns0:v>
      </ns0:c>
      <ns0:c r="F10" s="10" t="n">
        <ns0:f>IF(J10&lt;&gt;"OK","",SUM(O10:W10)+SUM(Plan!$G$9:$G$17))</ns0:f>
        <ns0:v>18</ns0:v>
      </ns0:c>
      <ns0:c r="G10" s="10" t="n">
        <ns0:f>IF(F10="","",F10+Inputs!$C$22)</ns0:f>
        <ns0:v>20</ns0:v>
      </ns0:c>
      <ns0:c r="H10" s="47" t="n">
        <ns0:f>IF(F10="","",F10*Inputs!$C$8*(B10*Inputs!$C$9+C10*Inputs!$C$10))</ns0:f>
        <ns0:v>1440</ns0:v>
      </ns0:c>
      <ns0:c r="I10" s="18" t="inlineStr">
        <ns0:is>
          <ns0:t>Editable comparison; role mix is shown in columns B-C.</ns0:t>
        </ns0:is>
      </ns0:c>
      <ns0:c r="J10" s="6" t="str">
        <ns0:f>IF(OR(Inputs!$C$32&lt;&gt;"OK",B10&lt;1,B10&lt;&gt;INT(B10),C10&lt;0,C10&lt;&gt;INT(C10),K10&lt;=0,COUNTIF(Plan!$T$9:$T$17,"BLOCKED")&gt;0),"BLOCKED","OK")</ns0:f>
        <ns0:v>OK</ns0:v>
      </ns0:c>
      <ns0:c r="K10" s="6" t="n">
        <ns0:f>MAX(0,B10*Inputs!$C$8*Inputs!$C$9*Inputs!$C$12-C10*Inputs!$C$10*Inputs!$C$15)</ns0:f>
        <ns0:v>28</ns0:v>
      </ns0:c>
      <ns0:c r="L10" s="6" t="n">
        <ns0:f>IF(B10&gt;0,K10/B10,0)</ns0:f>
        <ns0:v>28</ns0:v>
      </ns0:c>
      <ns0:c r="M10" s="6" t="n">
        <ns0:f>MIN(C10,Inputs!$C$17)*Inputs!$C$29</ns0:f>
        <ns0:v>24</ns0:v>
      </ns0:c>
      <ns0:c r="N10" s="6" t="n">
        <ns0:f>MIN(C10,Inputs!$C$17)*Inputs!$C$30</ns0:f>
        <ns0:v>12</ns0:v>
      </ns0:c>
      <ns0:c r="O10" s="6" t="n">
        <ns0:f>IF(J10&lt;&gt;"OK","",ROUNDUP(MAX(Plan!$E$9,Plan!$C$9*Inputs!$C$24/(MIN(B10,Inputs!$C$16,Plan!$F$9)*L10),(Plan!$C$9+Plan!$D$9)*Inputs!$C$24/(MIN(B10,Inputs!$C$16)*L10+N10))/Inputs!$C$23,0)*Inputs!$C$23)</ns0:f>
        <ns0:v>2</ns0:v>
      </ns0:c>
      <ns0:c r="P10" s="6" t="n">
        <ns0:f>IF(J10&lt;&gt;"OK","",ROUNDUP(MAX(Plan!$E$10,Plan!$C$10*Inputs!$C$24/(MIN(B10,Inputs!$C$16,Plan!$F$10)*L10),(Plan!$C$10+Plan!$D$10)*Inputs!$C$24/(MIN(B10,Inputs!$C$16)*L10+M10))/Inputs!$C$23,0)*Inputs!$C$23)</ns0:f>
        <ns0:v>2</ns0:v>
      </ns0:c>
      <ns0:c r="Q10" s="6" t="n">
        <ns0:f>IF(J10&lt;&gt;"OK","",ROUNDUP(MAX(Plan!$E$11,Plan!$C$11*Inputs!$C$24/(MIN(B10,Inputs!$C$16,Plan!$F$11)*L10),(Plan!$C$11+Plan!$D$11)*Inputs!$C$24/(MIN(B10,Inputs!$C$16)*L10+M10))/Inputs!$C$23,0)*Inputs!$C$23)</ns0:f>
        <ns0:v>1</ns0:v>
      </ns0:c>
      <ns0:c r="R10" s="6" t="n">
        <ns0:f>IF(J10&lt;&gt;"OK","",ROUNDUP(MAX(Plan!$E$12,Plan!$C$12*Inputs!$C$24/(MIN(B10,Inputs!$C$16,Plan!$F$12)*L10),(Plan!$C$12+Plan!$D$12)*Inputs!$C$24/(MIN(B10,Inputs!$C$16)*L10+M10))/Inputs!$C$23,0)*Inputs!$C$23)</ns0:f>
        <ns0:v>1</ns0:v>
      </ns0:c>
      <ns0:c r="S10" s="6" t="n">
        <ns0:f>IF(J10&lt;&gt;"OK","",ROUNDUP(MAX(Plan!$E$13,Plan!$C$13*Inputs!$C$24/(MIN(B10,Inputs!$C$16,Plan!$F$13)*L10),(Plan!$C$13+Plan!$D$13)*Inputs!$C$24/(MIN(B10,Inputs!$C$16)*L10+M10))/Inputs!$C$23,0)*Inputs!$C$23)</ns0:f>
        <ns0:v>2</ns0:v>
      </ns0:c>
      <ns0:c r="T10" s="6" t="n">
        <ns0:f>IF(J10&lt;&gt;"OK","",ROUNDUP(MAX(Plan!$E$14,Plan!$C$14*Inputs!$C$24/(MIN(B10,Inputs!$C$16,Plan!$F$14)*L10),(Plan!$C$14+Plan!$D$14)*Inputs!$C$24/(MIN(B10,Inputs!$C$16)*L10+M10))/Inputs!$C$23,0)*Inputs!$C$23)</ns0:f>
        <ns0:v>2</ns0:v>
      </ns0:c>
      <ns0:c r="U10" s="6" t="n">
        <ns0:f>IF(J10&lt;&gt;"OK","",ROUNDUP(MAX(Plan!$E$15,Plan!$C$15*Inputs!$C$24/(MIN(B10,Inputs!$C$16,Plan!$F$15)*L10),(Plan!$C$15+Plan!$D$15)*Inputs!$C$24/(MIN(B10,Inputs!$C$16)*L10+M10))/Inputs!$C$23,0)*Inputs!$C$23)</ns0:f>
        <ns0:v>3</ns0:v>
      </ns0:c>
      <ns0:c r="V10" s="6" t="n">
        <ns0:f>IF(J10&lt;&gt;"OK","",ROUNDUP(MAX(Plan!$E$16,Plan!$C$16*Inputs!$C$24/(MIN(B10,Inputs!$C$16,Plan!$F$16)*L10),(Plan!$C$16+Plan!$D$16)*Inputs!$C$24/(MIN(B10,Inputs!$C$16)*L10+M10))/Inputs!$C$23,0)*Inputs!$C$23)</ns0:f>
        <ns0:v>2</ns0:v>
      </ns0:c>
      <ns0:c r="W10" s="6" t="n">
        <ns0:f>IF(J10&lt;&gt;"OK","",ROUNDUP(MAX(Plan!$E$17,Plan!$C$17*Inputs!$C$24/(MIN(B10,Inputs!$C$16,Plan!$F$17)*L10),(Plan!$C$17+Plan!$D$17)*Inputs!$C$24/(MIN(B10,Inputs!$C$16)*L10+M10))/Inputs!$C$23,0)*Inputs!$C$23)</ns0:f>
        <ns0:v>3</ns0:v>
      </ns0:c>
    </ns0:row>
    <ns0:row r="11" ht="57" customHeight="1">
      <ns0:c r="A11" s="46" t="str">
        <ns0:f>D11&amp;" developers"</ns0:f>
        <ns0:v>3 developers</ns0:v>
      </ns0:c>
      <ns0:c r="B11" s="26" t="n">
        <ns0:v>2</ns0:v>
      </ns0:c>
      <ns0:c r="C11" s="26" t="n">
        <ns0:v>1</ns0:v>
      </ns0:c>
      <ns0:c r="D11" s="44" t="n">
        <ns0:f>B11+C11</ns0:f>
        <ns0:v>3</ns0:v>
      </ns0:c>
      <ns0:c r="E11" s="10" t="n">
        <ns0:f>IF(J11&lt;&gt;"OK","",SUM(O11:S11)+SUM(Plan!$G$9:$G$13))</ns0:f>
        <ns0:v>7</ns0:v>
      </ns0:c>
      <ns0:c r="F11" s="10" t="n">
        <ns0:f>IF(J11&lt;&gt;"OK","",SUM(O11:W11)+SUM(Plan!$G$9:$G$17))</ns0:f>
        <ns0:v>14.5</ns0:v>
      </ns0:c>
      <ns0:c r="G11" s="10" t="n">
        <ns0:f>IF(F11="","",F11+Inputs!$C$22)</ns0:f>
        <ns0:v>16.5</ns0:v>
      </ns0:c>
      <ns0:c r="H11" s="47" t="n">
        <ns0:f>IF(F11="","",F11*Inputs!$C$8*(B11*Inputs!$C$9+C11*Inputs!$C$10))</ns0:f>
        <ns0:v>1740</ns0:v>
      </ns0:c>
      <ns0:c r="I11" s="18" t="inlineStr">
        <ns0:is>
          <ns0:t>Expert lead capacity and support work both constrain the forecast.</ns0:t>
        </ns0:is>
      </ns0:c>
      <ns0:c r="J11" s="6" t="str">
        <ns0:f>IF(OR(Inputs!$C$32&lt;&gt;"OK",B11&lt;1,B11&lt;&gt;INT(B11),C11&lt;0,C11&lt;&gt;INT(C11),K11&lt;=0,COUNTIF(Plan!$T$9:$T$17,"BLOCKED")&gt;0),"BLOCKED","OK")</ns0:f>
        <ns0:v>OK</ns0:v>
      </ns0:c>
      <ns0:c r="K11" s="6" t="n">
        <ns0:f>MAX(0,B11*Inputs!$C$8*Inputs!$C$9*Inputs!$C$12-C11*Inputs!$C$10*Inputs!$C$15)</ns0:f>
        <ns0:v>62</ns0:v>
      </ns0:c>
      <ns0:c r="L11" s="6" t="n">
        <ns0:f>IF(B11&gt;0,K11/B11,0)</ns0:f>
        <ns0:v>31</ns0:v>
      </ns0:c>
      <ns0:c r="M11" s="6" t="n">
        <ns0:f>MIN(C11,Inputs!$C$17)*Inputs!$C$29</ns0:f>
        <ns0:v>24</ns0:v>
      </ns0:c>
      <ns0:c r="N11" s="6" t="n">
        <ns0:f>MIN(C11,Inputs!$C$17)*Inputs!$C$30</ns0:f>
        <ns0:v>12</ns0:v>
      </ns0:c>
      <ns0:c r="O11" s="6" t="n">
        <ns0:f>IF(J11&lt;&gt;"OK","",ROUNDUP(MAX(Plan!$E$9,Plan!$C$9*Inputs!$C$24/(MIN(B11,Inputs!$C$16,Plan!$F$9)*L11),(Plan!$C$9+Plan!$D$9)*Inputs!$C$24/(MIN(B11,Inputs!$C$16)*L11+N11))/Inputs!$C$23,0)*Inputs!$C$23)</ns0:f>
        <ns0:v>2</ns0:v>
      </ns0:c>
      <ns0:c r="P11" s="6" t="n">
        <ns0:f>IF(J11&lt;&gt;"OK","",ROUNDUP(MAX(Plan!$E$10,Plan!$C$10*Inputs!$C$24/(MIN(B11,Inputs!$C$16,Plan!$F$10)*L11),(Plan!$C$10+Plan!$D$10)*Inputs!$C$24/(MIN(B11,Inputs!$C$16)*L11+M11))/Inputs!$C$23,0)*Inputs!$C$23)</ns0:f>
        <ns0:v>1.5</ns0:v>
      </ns0:c>
      <ns0:c r="Q11" s="6" t="n">
        <ns0:f>IF(J11&lt;&gt;"OK","",ROUNDUP(MAX(Plan!$E$11,Plan!$C$11*Inputs!$C$24/(MIN(B11,Inputs!$C$16,Plan!$F$11)*L11),(Plan!$C$11+Plan!$D$11)*Inputs!$C$24/(MIN(B11,Inputs!$C$16)*L11+M11))/Inputs!$C$23,0)*Inputs!$C$23)</ns0:f>
        <ns0:v>1</ns0:v>
      </ns0:c>
      <ns0:c r="R11" s="6" t="n">
        <ns0:f>IF(J11&lt;&gt;"OK","",ROUNDUP(MAX(Plan!$E$12,Plan!$C$12*Inputs!$C$24/(MIN(B11,Inputs!$C$16,Plan!$F$12)*L11),(Plan!$C$12+Plan!$D$12)*Inputs!$C$24/(MIN(B11,Inputs!$C$16)*L11+M11))/Inputs!$C$23,0)*Inputs!$C$23)</ns0:f>
        <ns0:v>1</ns0:v>
      </ns0:c>
      <ns0:c r="S11" s="6" t="n">
        <ns0:f>IF(J11&lt;&gt;"OK","",ROUNDUP(MAX(Plan!$E$13,Plan!$C$13*Inputs!$C$24/(MIN(B11,Inputs!$C$16,Plan!$F$13)*L11),(Plan!$C$13+Plan!$D$13)*Inputs!$C$24/(MIN(B11,Inputs!$C$16)*L11+M11))/Inputs!$C$23,0)*Inputs!$C$23)</ns0:f>
        <ns0:v>1.5</ns0:v>
      </ns0:c>
      <ns0:c r="T11" s="6" t="n">
        <ns0:f>IF(J11&lt;&gt;"OK","",ROUNDUP(MAX(Plan!$E$14,Plan!$C$14*Inputs!$C$24/(MIN(B11,Inputs!$C$16,Plan!$F$14)*L11),(Plan!$C$14+Plan!$D$14)*Inputs!$C$24/(MIN(B11,Inputs!$C$16)*L11+M11))/Inputs!$C$23,0)*Inputs!$C$23)</ns0:f>
        <ns0:v>1.5</ns0:v>
      </ns0:c>
      <ns0:c r="U11" s="6" t="n">
        <ns0:f>IF(J11&lt;&gt;"OK","",ROUNDUP(MAX(Plan!$E$15,Plan!$C$15*Inputs!$C$24/(MIN(B11,Inputs!$C$16,Plan!$F$15)*L11),(Plan!$C$15+Plan!$D$15)*Inputs!$C$24/(MIN(B11,Inputs!$C$16)*L11+M11))/Inputs!$C$23,0)*Inputs!$C$23)</ns0:f>
        <ns0:v>2</ns0:v>
      </ns0:c>
      <ns0:c r="V11" s="6" t="n">
        <ns0:f>IF(J11&lt;&gt;"OK","",ROUNDUP(MAX(Plan!$E$16,Plan!$C$16*Inputs!$C$24/(MIN(B11,Inputs!$C$16,Plan!$F$16)*L11),(Plan!$C$16+Plan!$D$16)*Inputs!$C$24/(MIN(B11,Inputs!$C$16)*L11+M11))/Inputs!$C$23,0)*Inputs!$C$23)</ns0:f>
        <ns0:v>2</ns0:v>
      </ns0:c>
      <ns0:c r="W11" s="6" t="n">
        <ns0:f>IF(J11&lt;&gt;"OK","",ROUNDUP(MAX(Plan!$E$17,Plan!$C$17*Inputs!$C$24/(MIN(B11,Inputs!$C$16,Plan!$F$17)*L11),(Plan!$C$17+Plan!$D$17)*Inputs!$C$24/(MIN(B11,Inputs!$C$16)*L11+M11))/Inputs!$C$23,0)*Inputs!$C$23)</ns0:f>
        <ns0:v>2</ns0:v>
      </ns0:c>
    </ns0:row>
    <ns0:row r="12" ht="57" customHeight="1">
      <ns0:c r="A12" s="46" t="str">
        <ns0:f>D12&amp;" developers"</ns0:f>
        <ns0:v>4 developers</ns0:v>
      </ns0:c>
      <ns0:c r="B12" s="26" t="n">
        <ns0:v>3</ns0:v>
      </ns0:c>
      <ns0:c r="C12" s="26" t="n">
        <ns0:v>1</ns0:v>
      </ns0:c>
      <ns0:c r="D12" s="44" t="n">
        <ns0:f>B12+C12</ns0:f>
        <ns0:v>4</ns0:v>
      </ns0:c>
      <ns0:c r="E12" s="10" t="n">
        <ns0:f>IF(J12&lt;&gt;"OK","",SUM(O12:S12)+SUM(Plan!$G$9:$G$13))</ns0:f>
        <ns0:v>7</ns0:v>
      </ns0:c>
      <ns0:c r="F12" s="10" t="n">
        <ns0:f>IF(J12&lt;&gt;"OK","",SUM(O12:W12)+SUM(Plan!$G$9:$G$17))</ns0:f>
        <ns0:v>14</ns0:v>
      </ns0:c>
      <ns0:c r="G12" s="10" t="n">
        <ns0:f>IF(F12="","",F12+Inputs!$C$22)</ns0:f>
        <ns0:v>16</ns0:v>
      </ns0:c>
      <ns0:c r="H12" s="47" t="n">
        <ns0:f>IF(F12="","",F12*Inputs!$C$8*(B12*Inputs!$C$9+C12*Inputs!$C$10))</ns0:f>
        <ns0:v>2240</ns0:v>
      </ns0:c>
      <ns0:c r="I12" s="18" t="inlineStr">
        <ns0:is>
          <ns0:t>Phase caps and gate time limit further acceleration.</ns0:t>
        </ns0:is>
      </ns0:c>
      <ns0:c r="J12" s="6" t="str">
        <ns0:f>IF(OR(Inputs!$C$32&lt;&gt;"OK",B12&lt;1,B12&lt;&gt;INT(B12),C12&lt;0,C12&lt;&gt;INT(C12),K12&lt;=0,COUNTIF(Plan!$T$9:$T$17,"BLOCKED")&gt;0),"BLOCKED","OK")</ns0:f>
        <ns0:v>OK</ns0:v>
      </ns0:c>
      <ns0:c r="K12" s="6" t="n">
        <ns0:f>MAX(0,B12*Inputs!$C$8*Inputs!$C$9*Inputs!$C$12-C12*Inputs!$C$10*Inputs!$C$15)</ns0:f>
        <ns0:v>96</ns0:v>
      </ns0:c>
      <ns0:c r="L12" s="6" t="n">
        <ns0:f>IF(B12&gt;0,K12/B12,0)</ns0:f>
        <ns0:v>32</ns0:v>
      </ns0:c>
      <ns0:c r="M12" s="6" t="n">
        <ns0:f>MIN(C12,Inputs!$C$17)*Inputs!$C$29</ns0:f>
        <ns0:v>24</ns0:v>
      </ns0:c>
      <ns0:c r="N12" s="6" t="n">
        <ns0:f>MIN(C12,Inputs!$C$17)*Inputs!$C$30</ns0:f>
        <ns0:v>12</ns0:v>
      </ns0:c>
      <ns0:c r="O12" s="6" t="n">
        <ns0:f>IF(J12&lt;&gt;"OK","",ROUNDUP(MAX(Plan!$E$9,Plan!$C$9*Inputs!$C$24/(MIN(B12,Inputs!$C$16,Plan!$F$9)*L12),(Plan!$C$9+Plan!$D$9)*Inputs!$C$24/(MIN(B12,Inputs!$C$16)*L12+N12))/Inputs!$C$23,0)*Inputs!$C$23)</ns0:f>
        <ns0:v>2</ns0:v>
      </ns0:c>
      <ns0:c r="P12" s="6" t="n">
        <ns0:f>IF(J12&lt;&gt;"OK","",ROUNDUP(MAX(Plan!$E$10,Plan!$C$10*Inputs!$C$24/(MIN(B12,Inputs!$C$16,Plan!$F$10)*L12),(Plan!$C$10+Plan!$D$10)*Inputs!$C$24/(MIN(B12,Inputs!$C$16)*L12+M12))/Inputs!$C$23,0)*Inputs!$C$23)</ns0:f>
        <ns0:v>1.5</ns0:v>
      </ns0:c>
      <ns0:c r="Q12" s="6" t="n">
        <ns0:f>IF(J12&lt;&gt;"OK","",ROUNDUP(MAX(Plan!$E$11,Plan!$C$11*Inputs!$C$24/(MIN(B12,Inputs!$C$16,Plan!$F$11)*L12),(Plan!$C$11+Plan!$D$11)*Inputs!$C$24/(MIN(B12,Inputs!$C$16)*L12+M12))/Inputs!$C$23,0)*Inputs!$C$23)</ns0:f>
        <ns0:v>1</ns0:v>
      </ns0:c>
      <ns0:c r="R12" s="6" t="n">
        <ns0:f>IF(J12&lt;&gt;"OK","",ROUNDUP(MAX(Plan!$E$12,Plan!$C$12*Inputs!$C$24/(MIN(B12,Inputs!$C$16,Plan!$F$12)*L12),(Plan!$C$12+Plan!$D$12)*Inputs!$C$24/(MIN(B12,Inputs!$C$16)*L12+M12))/Inputs!$C$23,0)*Inputs!$C$23)</ns0:f>
        <ns0:v>1</ns0:v>
      </ns0:c>
      <ns0:c r="S12" s="6" t="n">
        <ns0:f>IF(J12&lt;&gt;"OK","",ROUNDUP(MAX(Plan!$E$13,Plan!$C$13*Inputs!$C$24/(MIN(B12,Inputs!$C$16,Plan!$F$13)*L12),(Plan!$C$13+Plan!$D$13)*Inputs!$C$24/(MIN(B12,Inputs!$C$16)*L12+M12))/Inputs!$C$23,0)*Inputs!$C$23)</ns0:f>
        <ns0:v>1.5</ns0:v>
      </ns0:c>
      <ns0:c r="T12" s="6" t="n">
        <ns0:f>IF(J12&lt;&gt;"OK","",ROUNDUP(MAX(Plan!$E$14,Plan!$C$14*Inputs!$C$24/(MIN(B12,Inputs!$C$16,Plan!$F$14)*L12),(Plan!$C$14+Plan!$D$14)*Inputs!$C$24/(MIN(B12,Inputs!$C$16)*L12+M12))/Inputs!$C$23,0)*Inputs!$C$23)</ns0:f>
        <ns0:v>1.5</ns0:v>
      </ns0:c>
      <ns0:c r="U12" s="6" t="n">
        <ns0:f>IF(J12&lt;&gt;"OK","",ROUNDUP(MAX(Plan!$E$15,Plan!$C$15*Inputs!$C$24/(MIN(B12,Inputs!$C$16,Plan!$F$15)*L12),(Plan!$C$15+Plan!$D$15)*Inputs!$C$24/(MIN(B12,Inputs!$C$16)*L12+M12))/Inputs!$C$23,0)*Inputs!$C$23)</ns0:f>
        <ns0:v>2</ns0:v>
      </ns0:c>
      <ns0:c r="V12" s="6" t="n">
        <ns0:f>IF(J12&lt;&gt;"OK","",ROUNDUP(MAX(Plan!$E$16,Plan!$C$16*Inputs!$C$24/(MIN(B12,Inputs!$C$16,Plan!$F$16)*L12),(Plan!$C$16+Plan!$D$16)*Inputs!$C$24/(MIN(B12,Inputs!$C$16)*L12+M12))/Inputs!$C$23,0)*Inputs!$C$23)</ns0:f>
        <ns0:v>1.5</ns0:v>
      </ns0:c>
      <ns0:c r="W12" s="6" t="n">
        <ns0:f>IF(J12&lt;&gt;"OK","",ROUNDUP(MAX(Plan!$E$17,Plan!$C$17*Inputs!$C$24/(MIN(B12,Inputs!$C$16,Plan!$F$17)*L12),(Plan!$C$17+Plan!$D$17)*Inputs!$C$24/(MIN(B12,Inputs!$C$16)*L12+M12))/Inputs!$C$23,0)*Inputs!$C$23)</ns0:f>
        <ns0:v>2</ns0:v>
      </ns0:c>
    </ns0:row>
    <ns0:row r="13" ht="57" customHeight="1">
      <ns0:c r="A13" s="46" t="str">
        <ns0:f>D13&amp;" developers"</ns0:f>
        <ns0:v>2 developers</ns0:v>
      </ns0:c>
      <ns0:c r="B13" s="26" t="n">
        <ns0:v>2</ns0:v>
      </ns0:c>
      <ns0:c r="C13" s="26" t="n">
        <ns0:v>0</ns0:v>
      </ns0:c>
      <ns0:c r="D13" s="44" t="n">
        <ns0:f>B13+C13</ns0:f>
        <ns0:v>2</ns0:v>
      </ns0:c>
      <ns0:c r="E13" s="10" t="n">
        <ns0:f>IF(J13&lt;&gt;"OK","",SUM(O13:S13)+SUM(Plan!$G$9:$G$13))</ns0:f>
        <ns0:v>7.5</ns0:v>
      </ns0:c>
      <ns0:c r="F13" s="10" t="n">
        <ns0:f>IF(J13&lt;&gt;"OK","",SUM(O13:W13)+SUM(Plan!$G$9:$G$17))</ns0:f>
        <ns0:v>15</ns0:v>
      </ns0:c>
      <ns0:c r="G13" s="10" t="n">
        <ns0:f>IF(F13="","",F13+Inputs!$C$22)</ns0:f>
        <ns0:v>17</ns0:v>
      </ns0:c>
      <ns0:c r="H13" s="47" t="n">
        <ns0:f>IF(F13="","",F13*Inputs!$C$8*(B13*Inputs!$C$9+C13*Inputs!$C$10))</ns0:f>
        <ns0:v>1200</ns0:v>
      </ns0:c>
      <ns0:c r="I13" s="18" t="inlineStr">
        <ns0:is>
          <ns0:t>Experienced staff also cover the support workload.</ns0:t>
        </ns0:is>
      </ns0:c>
      <ns0:c r="J13" s="6" t="str">
        <ns0:f>IF(OR(Inputs!$C$32&lt;&gt;"OK",B13&lt;1,B13&lt;&gt;INT(B13),C13&lt;0,C13&lt;&gt;INT(C13),K13&lt;=0,COUNTIF(Plan!$T$9:$T$17,"BLOCKED")&gt;0),"BLOCKED","OK")</ns0:f>
        <ns0:v>OK</ns0:v>
      </ns0:c>
      <ns0:c r="K13" s="6" t="n">
        <ns0:f>MAX(0,B13*Inputs!$C$8*Inputs!$C$9*Inputs!$C$12-C13*Inputs!$C$10*Inputs!$C$15)</ns0:f>
        <ns0:v>68</ns0:v>
      </ns0:c>
      <ns0:c r="L13" s="6" t="n">
        <ns0:f>IF(B13&gt;0,K13/B13,0)</ns0:f>
        <ns0:v>34</ns0:v>
      </ns0:c>
      <ns0:c r="M13" s="6" t="n">
        <ns0:f>MIN(C13,Inputs!$C$17)*Inputs!$C$29</ns0:f>
        <ns0:v>0</ns0:v>
      </ns0:c>
      <ns0:c r="N13" s="6" t="n">
        <ns0:f>MIN(C13,Inputs!$C$17)*Inputs!$C$30</ns0:f>
        <ns0:v>0</ns0:v>
      </ns0:c>
      <ns0:c r="O13" s="6" t="n">
        <ns0:f>IF(J13&lt;&gt;"OK","",ROUNDUP(MAX(Plan!$E$9,Plan!$C$9*Inputs!$C$24/(MIN(B13,Inputs!$C$16,Plan!$F$9)*L13),(Plan!$C$9+Plan!$D$9)*Inputs!$C$24/(MIN(B13,Inputs!$C$16)*L13+N13))/Inputs!$C$23,0)*Inputs!$C$23)</ns0:f>
        <ns0:v>2</ns0:v>
      </ns0:c>
      <ns0:c r="P13" s="6" t="n">
        <ns0:f>IF(J13&lt;&gt;"OK","",ROUNDUP(MAX(Plan!$E$10,Plan!$C$10*Inputs!$C$24/(MIN(B13,Inputs!$C$16,Plan!$F$10)*L13),(Plan!$C$10+Plan!$D$10)*Inputs!$C$24/(MIN(B13,Inputs!$C$16)*L13+M13))/Inputs!$C$23,0)*Inputs!$C$23)</ns0:f>
        <ns0:v>2</ns0:v>
      </ns0:c>
      <ns0:c r="Q13" s="6" t="n">
        <ns0:f>IF(J13&lt;&gt;"OK","",ROUNDUP(MAX(Plan!$E$11,Plan!$C$11*Inputs!$C$24/(MIN(B13,Inputs!$C$16,Plan!$F$11)*L13),(Plan!$C$11+Plan!$D$11)*Inputs!$C$24/(MIN(B13,Inputs!$C$16)*L13+M13))/Inputs!$C$23,0)*Inputs!$C$23)</ns0:f>
        <ns0:v>1</ns0:v>
      </ns0:c>
      <ns0:c r="R13" s="6" t="n">
        <ns0:f>IF(J13&lt;&gt;"OK","",ROUNDUP(MAX(Plan!$E$12,Plan!$C$12*Inputs!$C$24/(MIN(B13,Inputs!$C$16,Plan!$F$12)*L13),(Plan!$C$12+Plan!$D$12)*Inputs!$C$24/(MIN(B13,Inputs!$C$16)*L13+M13))/Inputs!$C$23,0)*Inputs!$C$23)</ns0:f>
        <ns0:v>1</ns0:v>
      </ns0:c>
      <ns0:c r="S13" s="6" t="n">
        <ns0:f>IF(J13&lt;&gt;"OK","",ROUNDUP(MAX(Plan!$E$13,Plan!$C$13*Inputs!$C$24/(MIN(B13,Inputs!$C$16,Plan!$F$13)*L13),(Plan!$C$13+Plan!$D$13)*Inputs!$C$24/(MIN(B13,Inputs!$C$16)*L13+M13))/Inputs!$C$23,0)*Inputs!$C$23)</ns0:f>
        <ns0:v>1.5</ns0:v>
      </ns0:c>
      <ns0:c r="T13" s="6" t="n">
        <ns0:f>IF(J13&lt;&gt;"OK","",ROUNDUP(MAX(Plan!$E$14,Plan!$C$14*Inputs!$C$24/(MIN(B13,Inputs!$C$16,Plan!$F$14)*L13),(Plan!$C$14+Plan!$D$14)*Inputs!$C$24/(MIN(B13,Inputs!$C$16)*L13+M13))/Inputs!$C$23,0)*Inputs!$C$23)</ns0:f>
        <ns0:v>1.5</ns0:v>
      </ns0:c>
      <ns0:c r="U13" s="6" t="n">
        <ns0:f>IF(J13&lt;&gt;"OK","",ROUNDUP(MAX(Plan!$E$15,Plan!$C$15*Inputs!$C$24/(MIN(B13,Inputs!$C$16,Plan!$F$15)*L13),(Plan!$C$15+Plan!$D$15)*Inputs!$C$24/(MIN(B13,Inputs!$C$16)*L13+M13))/Inputs!$C$23,0)*Inputs!$C$23)</ns0:f>
        <ns0:v>2.5</ns0:v>
      </ns0:c>
      <ns0:c r="V13" s="6" t="n">
        <ns0:f>IF(J13&lt;&gt;"OK","",ROUNDUP(MAX(Plan!$E$16,Plan!$C$16*Inputs!$C$24/(MIN(B13,Inputs!$C$16,Plan!$F$16)*L13),(Plan!$C$16+Plan!$D$16)*Inputs!$C$24/(MIN(B13,Inputs!$C$16)*L13+M13))/Inputs!$C$23,0)*Inputs!$C$23)</ns0:f>
        <ns0:v>1.5</ns0:v>
      </ns0:c>
      <ns0:c r="W13" s="6" t="n">
        <ns0:f>IF(J13&lt;&gt;"OK","",ROUNDUP(MAX(Plan!$E$17,Plan!$C$17*Inputs!$C$24/(MIN(B13,Inputs!$C$16,Plan!$F$17)*L13),(Plan!$C$17+Plan!$D$17)*Inputs!$C$24/(MIN(B13,Inputs!$C$16)*L13+M13))/Inputs!$C$23,0)*Inputs!$C$23)</ns0:f>
        <ns0:v>2</ns0:v>
      </ns0:c>
    </ns0:row>
    <ns0:row r="14" ht="57" customHeight="1">
      <ns0:c r="A14" s="46" t="str">
        <ns0:f>D14&amp;" developers"</ns0:f>
        <ns0:v>3 developers</ns0:v>
      </ns0:c>
      <ns0:c r="B14" s="26" t="n">
        <ns0:v>1</ns0:v>
      </ns0:c>
      <ns0:c r="C14" s="26" t="n">
        <ns0:v>2</ns0:v>
      </ns0:c>
      <ns0:c r="D14" s="44" t="n">
        <ns0:f>B14+C14</ns0:f>
        <ns0:v>3</ns0:v>
      </ns0:c>
      <ns0:c r="E14" s="10" t="n">
        <ns0:f>IF(J14&lt;&gt;"OK","",SUM(O14:S14)+SUM(Plan!$G$9:$G$13))</ns0:f>
        <ns0:v>12</ns0:v>
      </ns0:c>
      <ns0:c r="F14" s="10" t="n">
        <ns0:f>IF(J14&lt;&gt;"OK","",SUM(O14:W14)+SUM(Plan!$G$9:$G$17))</ns0:f>
        <ns0:v>24.5</ns0:v>
      </ns0:c>
      <ns0:c r="G14" s="10" t="n">
        <ns0:f>IF(F14="","",F14+Inputs!$C$22)</ns0:f>
        <ns0:v>26.5</ns0:v>
      </ns0:c>
      <ns0:c r="H14" s="47" t="n">
        <ns0:f>IF(F14="","",F14*Inputs!$C$8*(B14*Inputs!$C$9+C14*Inputs!$C$10))</ns0:f>
        <ns0:v>2940</ns0:v>
      </ns0:c>
      <ns0:c r="I14" s="18" t="inlineStr">
        <ns0:is>
          <ns0:t>Mentoring is deducted before expert-critical capacity is calculated.</ns0:t>
        </ns0:is>
      </ns0:c>
      <ns0:c r="J14" s="6" t="str">
        <ns0:f>IF(OR(Inputs!$C$32&lt;&gt;"OK",B14&lt;1,B14&lt;&gt;INT(B14),C14&lt;0,C14&lt;&gt;INT(C14),K14&lt;=0,COUNTIF(Plan!$T$9:$T$17,"BLOCKED")&gt;0),"BLOCKED","OK")</ns0:f>
        <ns0:v>OK</ns0:v>
      </ns0:c>
      <ns0:c r="K14" s="6" t="n">
        <ns0:f>MAX(0,B14*Inputs!$C$8*Inputs!$C$9*Inputs!$C$12-C14*Inputs!$C$10*Inputs!$C$15)</ns0:f>
        <ns0:v>22</ns0:v>
      </ns0:c>
      <ns0:c r="L14" s="6" t="n">
        <ns0:f>IF(B14&gt;0,K14/B14,0)</ns0:f>
        <ns0:v>22</ns0:v>
      </ns0:c>
      <ns0:c r="M14" s="6" t="n">
        <ns0:f>MIN(C14,Inputs!$C$17)*Inputs!$C$29</ns0:f>
        <ns0:v>48</ns0:v>
      </ns0:c>
      <ns0:c r="N14" s="6" t="n">
        <ns0:f>MIN(C14,Inputs!$C$17)*Inputs!$C$30</ns0:f>
        <ns0:v>24</ns0:v>
      </ns0:c>
      <ns0:c r="O14" s="6" t="n">
        <ns0:f>IF(J14&lt;&gt;"OK","",ROUNDUP(MAX(Plan!$E$9,Plan!$C$9*Inputs!$C$24/(MIN(B14,Inputs!$C$16,Plan!$F$9)*L14),(Plan!$C$9+Plan!$D$9)*Inputs!$C$24/(MIN(B14,Inputs!$C$16)*L14+N14))/Inputs!$C$23,0)*Inputs!$C$23)</ns0:f>
        <ns0:v>3</ns0:v>
      </ns0:c>
      <ns0:c r="P14" s="6" t="n">
        <ns0:f>IF(J14&lt;&gt;"OK","",ROUNDUP(MAX(Plan!$E$10,Plan!$C$10*Inputs!$C$24/(MIN(B14,Inputs!$C$16,Plan!$F$10)*L14),(Plan!$C$10+Plan!$D$10)*Inputs!$C$24/(MIN(B14,Inputs!$C$16)*L14+M14))/Inputs!$C$23,0)*Inputs!$C$23)</ns0:f>
        <ns0:v>3</ns0:v>
      </ns0:c>
      <ns0:c r="Q14" s="6" t="n">
        <ns0:f>IF(J14&lt;&gt;"OK","",ROUNDUP(MAX(Plan!$E$11,Plan!$C$11*Inputs!$C$24/(MIN(B14,Inputs!$C$16,Plan!$F$11)*L14),(Plan!$C$11+Plan!$D$11)*Inputs!$C$24/(MIN(B14,Inputs!$C$16)*L14+M14))/Inputs!$C$23,0)*Inputs!$C$23)</ns0:f>
        <ns0:v>1.5</ns0:v>
      </ns0:c>
      <ns0:c r="R14" s="6" t="n">
        <ns0:f>IF(J14&lt;&gt;"OK","",ROUNDUP(MAX(Plan!$E$12,Plan!$C$12*Inputs!$C$24/(MIN(B14,Inputs!$C$16,Plan!$F$12)*L14),(Plan!$C$12+Plan!$D$12)*Inputs!$C$24/(MIN(B14,Inputs!$C$16)*L14+M14))/Inputs!$C$23,0)*Inputs!$C$23)</ns0:f>
        <ns0:v>1.5</ns0:v>
      </ns0:c>
      <ns0:c r="S14" s="6" t="n">
        <ns0:f>IF(J14&lt;&gt;"OK","",ROUNDUP(MAX(Plan!$E$13,Plan!$C$13*Inputs!$C$24/(MIN(B14,Inputs!$C$16,Plan!$F$13)*L14),(Plan!$C$13+Plan!$D$13)*Inputs!$C$24/(MIN(B14,Inputs!$C$16)*L14+M14))/Inputs!$C$23,0)*Inputs!$C$23)</ns0:f>
        <ns0:v>3</ns0:v>
      </ns0:c>
      <ns0:c r="T14" s="6" t="n">
        <ns0:f>IF(J14&lt;&gt;"OK","",ROUNDUP(MAX(Plan!$E$14,Plan!$C$14*Inputs!$C$24/(MIN(B14,Inputs!$C$16,Plan!$F$14)*L14),(Plan!$C$14+Plan!$D$14)*Inputs!$C$24/(MIN(B14,Inputs!$C$16)*L14+M14))/Inputs!$C$23,0)*Inputs!$C$23)</ns0:f>
        <ns0:v>3</ns0:v>
      </ns0:c>
      <ns0:c r="U14" s="6" t="n">
        <ns0:f>IF(J14&lt;&gt;"OK","",ROUNDUP(MAX(Plan!$E$15,Plan!$C$15*Inputs!$C$24/(MIN(B14,Inputs!$C$16,Plan!$F$15)*L14),(Plan!$C$15+Plan!$D$15)*Inputs!$C$24/(MIN(B14,Inputs!$C$16)*L14+M14))/Inputs!$C$23,0)*Inputs!$C$23)</ns0:f>
        <ns0:v>4</ns0:v>
      </ns0:c>
      <ns0:c r="V14" s="6" t="n">
        <ns0:f>IF(J14&lt;&gt;"OK","",ROUNDUP(MAX(Plan!$E$16,Plan!$C$16*Inputs!$C$24/(MIN(B14,Inputs!$C$16,Plan!$F$16)*L14),(Plan!$C$16+Plan!$D$16)*Inputs!$C$24/(MIN(B14,Inputs!$C$16)*L14+M14))/Inputs!$C$23,0)*Inputs!$C$23)</ns0:f>
        <ns0:v>2.5</ns0:v>
      </ns0:c>
      <ns0:c r="W14" s="6" t="n">
        <ns0:f>IF(J14&lt;&gt;"OK","",ROUNDUP(MAX(Plan!$E$17,Plan!$C$17*Inputs!$C$24/(MIN(B14,Inputs!$C$16,Plan!$F$17)*L14),(Plan!$C$17+Plan!$D$17)*Inputs!$C$24/(MIN(B14,Inputs!$C$16)*L14+M14))/Inputs!$C$23,0)*Inputs!$C$23)</ns0:f>
        <ns0:v>3</ns0:v>
      </ns0:c>
    </ns0:row>
    <ns0:row r="15" ht="23" customHeight="1"/>
    <ns0:row r="16" ht="23" customHeight="1"/>
    <ns0:row r="17" ht="24" customHeight="1">
      <ns0:c r="A17" s="7" t="inlineStr">
        <ns0:is>
          <ns0:t>HOW TO READ THE COMPARISON</ns0:t>
        </ns0:is>
      </ns0:c>
    </ns0:row>
    <ns0:row r="18" ht="23" customHeight="1">
      <ns0:c r="A18" s="18" t="inlineStr">
        <ns0:is>
          <ns0:t>Dates and staffed hours are calculated; scope, quality gates and the selected idea are not automatically changed. These are planning forecasts, not measured productivity or a promise that all experienced developers have interchangeable skills.</ns0:t>
        </ns0:is>
      </ns0:c>
    </ns0:row>
    <ns0:row r="19" ht="23" customHeight="1"/>
    <ns0:row r="20" ht="23" customHeight="1"/>
    <ns0:row r="21" ht="23" customHeight="1">
      <ns0:c r="A21" s="3" t="inlineStr">
        <ns0:is>
          <ns0:t>To model 2 -&gt; 3 developers in the active plan: set Inputs!C5 to 3 and leave Inputs!C6 at 1. To add a junior instead, set both total developers and junior count. Review the role mix, not only the total.</ns0:t>
        </ns0:is>
      </ns0:c>
    </ns0:row>
    <ns0:row r="22" ht="23" customHeight="1"/>
    <ns0:row r="23" ht="23" customHeight="1"/>
    <ns0:row r="24" ht="23" customHeight="1">
      <ns0:c r="A24" s="22" t="inlineStr">
        <ns0:is>
          <ns0:t>The model applies one team from the planning start. It does not model mid-project joining dates or actual progress. For an in-flight reforecast, save a baseline copy and review remaining work and capacity with the senior lead.</ns0:t>
        </ns0:is>
      </ns0:c>
    </ns0:row>
    <ns0:row r="25" ht="23" customHeight="1"/>
    <ns0:row r="26" ht="23" customHeight="1"/>
    <ns0:row r="27" ht="23" customHeight="1"/>
    <ns0:row r="28" ht="23" customHeight="1"/>
    <ns0:row r="29" ht="23" customHeight="1"/>
    <ns0:row r="30" ht="23" customHeight="1"/>
    <ns0:row r="31" ht="23" customHeight="1"/>
    <ns0:row r="32" ht="23" customHeight="1"/>
    <ns0:row r="33" ht="23" customHeight="1"/>
    <ns0:row r="34" ht="23" customHeight="1"/>
    <ns0:row r="35" ht="23" customHeight="1"/>
    <ns0:row r="36" ht="23" customHeight="1"/>
    <ns0:row r="37" ht="23" customHeight="1"/>
    <ns0:row r="38" ht="23" customHeight="1"/>
    <ns0:row r="39" ht="23" customHeight="1"/>
    <ns0:row r="40" ht="23" customHeight="1"/>
    <ns0:row r="41" ht="23" customHeight="1"/>
    <ns0:row r="42" ht="23" customHeight="1"/>
    <ns0:row r="43" ht="23" customHeight="1"/>
    <ns0:row r="44" ht="23" customHeight="1"/>
    <ns0:row r="45" ht="23" customHeight="1"/>
    <ns0:row r="46" ht="23" customHeight="1"/>
    <ns0:row r="47" ht="23" customHeight="1"/>
    <ns0:row r="48" ht="23" customHeight="1"/>
    <ns0:row r="49" ht="23" customHeight="1"/>
    <ns0:row r="50" ht="23" customHeight="1"/>
    <ns0:row r="51" ht="23" customHeight="1"/>
    <ns0:row r="52" ht="23" customHeight="1"/>
    <ns0:row r="53" ht="23" customHeight="1"/>
    <ns0:row r="54" ht="23" customHeight="1"/>
    <ns0:row r="55" ht="23" customHeight="1"/>
    <ns0:row r="56" ht="23" customHeight="1"/>
    <ns0:row r="57" ht="23" customHeight="1"/>
    <ns0:row r="58" ht="23" customHeight="1"/>
    <ns0:row r="59" ht="23" customHeight="1"/>
    <ns0:row r="60" ht="23" customHeight="1"/>
    <ns0:row r="61" ht="23" customHeight="1"/>
    <ns0:row r="62" ht="23" customHeight="1"/>
    <ns0:row r="63" ht="23" customHeight="1"/>
    <ns0:row r="64" ht="23" customHeight="1"/>
  </ns0:sheetData>
  <ns0:mergeCells count="7">
    <ns0:mergeCell ref="A5:I6"/>
    <ns0:mergeCell ref="A18:I19"/>
    <ns0:mergeCell ref="A17:I17"/>
    <ns0:mergeCell ref="A1:I2"/>
    <ns0:mergeCell ref="A21:I22"/>
    <ns0:mergeCell ref="A3:I3"/>
    <ns0:mergeCell ref="A24:I25"/>
  </ns0:mergeCells>
  <ns0:dataValidations count="10">
    <ns0:dataValidation sqref="B10" showDropDown="0" showInputMessage="0" showErrorMessage="1" allowBlank="0" errorTitle="Check this planning input" error="Enter a value between 1 and 20." type="whole" errorStyle="stop" operator="between">
      <ns0:formula1>1</ns0:formula1>
      <ns0:formula2>20</ns0:formula2>
    </ns0:dataValidation>
    <ns0:dataValidation sqref="C10" showDropDown="0" showInputMessage="0" showErrorMessage="1" allowBlank="0" errorTitle="Check this planning input" error="Enter a value between 0 and 20." type="whole" errorStyle="stop" operator="between">
      <ns0:formula1>0</ns0:formula1>
      <ns0:formula2>20</ns0:formula2>
    </ns0:dataValidation>
    <ns0:dataValidation sqref="B11" showDropDown="0" showInputMessage="0" showErrorMessage="1" allowBlank="0" errorTitle="Check this planning input" error="Enter a value between 1 and 20." type="whole" errorStyle="stop" operator="between">
      <ns0:formula1>1</ns0:formula1>
      <ns0:formula2>20</ns0:formula2>
    </ns0:dataValidation>
    <ns0:dataValidation sqref="C11" showDropDown="0" showInputMessage="0" showErrorMessage="1" allowBlank="0" errorTitle="Check this planning input" error="Enter a value between 0 and 20." type="whole" errorStyle="stop" operator="between">
      <ns0:formula1>0</ns0:formula1>
      <ns0:formula2>20</ns0:formula2>
    </ns0:dataValidation>
    <ns0:dataValidation sqref="B12" showDropDown="0" showInputMessage="0" showErrorMessage="1" allowBlank="0" errorTitle="Check this planning input" error="Enter a value between 1 and 20." type="whole" errorStyle="stop" operator="between">
      <ns0:formula1>1</ns0:formula1>
      <ns0:formula2>20</ns0:formula2>
    </ns0:dataValidation>
    <ns0:dataValidation sqref="C12" showDropDown="0" showInputMessage="0" showErrorMessage="1" allowBlank="0" errorTitle="Check this planning input" error="Enter a value between 0 and 20." type="whole" errorStyle="stop" operator="between">
      <ns0:formula1>0</ns0:formula1>
      <ns0:formula2>20</ns0:formula2>
    </ns0:dataValidation>
    <ns0:dataValidation sqref="B13" showDropDown="0" showInputMessage="0" showErrorMessage="1" allowBlank="0" errorTitle="Check this planning input" error="Enter a value between 1 and 20." type="whole" errorStyle="stop" operator="between">
      <ns0:formula1>1</ns0:formula1>
      <ns0:formula2>20</ns0:formula2>
    </ns0:dataValidation>
    <ns0:dataValidation sqref="C13" showDropDown="0" showInputMessage="0" showErrorMessage="1" allowBlank="0" errorTitle="Check this planning input" error="Enter a value between 0 and 20." type="whole" errorStyle="stop" operator="between">
      <ns0:formula1>0</ns0:formula1>
      <ns0:formula2>20</ns0:formula2>
    </ns0:dataValidation>
    <ns0:dataValidation sqref="B14" showDropDown="0" showInputMessage="0" showErrorMessage="1" allowBlank="0" errorTitle="Check this planning input" error="Enter a value between 1 and 20." type="whole" errorStyle="stop" operator="between">
      <ns0:formula1>1</ns0:formula1>
      <ns0:formula2>20</ns0:formula2>
    </ns0:dataValidation>
    <ns0:dataValidation sqref="C14" showDropDown="0" showInputMessage="0" showErrorMessage="1" allowBlank="0" errorTitle="Check this planning input" error="Enter a value between 0 and 20." type="whole" errorStyle="stop" operator="between">
      <ns0:formula1>0</ns0:formula1>
      <ns0:formula2>20</ns0:formula2>
    </ns0:dataValidation>
  </ns0:dataValidations>
  <ns0:printOptions horizontalCentered="1"/>
  <ns0:pageMargins left="0.3" right="0.3" top="0.4" bottom="0.4" header="0.5" footer="0.5"/>
  <ns0:pageSetup orientation="landscape" paperSize="9" fitToHeight="0" fitToWidth="1"/>
</ns0:worksheet>
</file>

<file path=xl/worksheets/sheet5.xml><?xml version="1.0" encoding="utf-8"?>
<ns0:worksheet xmlns:ns0="http://schemas.openxmlformats.org/spreadsheetml/2006/main">
  <ns0:sheetPr>
    <ns0:tabColor rgb="0017364D"/>
    <ns0:outlinePr summaryBelow="1" summaryRight="0"/>
    <ns0:pageSetUpPr fitToPage="1"/>
  </ns0:sheetPr>
  <ns0:dimension ref="A1:F39"/>
  <ns0:sheetViews>
    <ns0:sheetView showGridLines="0" zoomScale="90" workbookViewId="0">
      <ns0:pane ySplit="4" topLeftCell="A5" activePane="bottomLeft" state="frozen"/>
      <ns0:selection pane="bottomLeft" activeCell="A1" sqref="A1"/>
    </ns0:sheetView>
  </ns0:sheetViews>
  <ns0:sheetFormatPr baseColWidth="8" defaultRowHeight="15"/>
  <ns0:cols>
    <ns0:col width="28" customWidth="1" min="1" max="1"/>
    <ns0:col width="24" customWidth="1" min="2" max="2"/>
    <ns0:col width="24" customWidth="1" min="3" max="3"/>
    <ns0:col width="24" customWidth="1" min="4" max="4"/>
    <ns0:col width="24" customWidth="1" min="5" max="5"/>
    <ns0:col width="16" customWidth="1" min="6" max="6"/>
  </ns0:cols>
  <ns0:sheetData>
    <ns0:row r="1" ht="20" customHeight="1">
      <ns0:c r="A1" s="1" t="inlineStr">
        <ns0:is>
          <ns0:t>Read me | model and sources</ns0:t>
        </ns0:is>
      </ns0:c>
    </ns0:row>
    <ns0:row r="2" ht="20" customHeight="1"/>
    <ns0:row r="3" ht="30" customHeight="1">
      <ns0:c r="A3" s="2" t="inlineStr">
        <ns0:is>
          <ns0:t>The workbook is the single source for changing resources, forecast dates and the management report.</ns0:t>
        </ns0:is>
      </ns0:c>
    </ns0:row>
    <ns0:row r="4" ht="23" customHeight="1"/>
    <ns0:row r="5" ht="24" customHeight="1">
      <ns0:c r="A5" s="7" t="inlineStr">
        <ns0:is>
          <ns0:t>USE THE WORKBOOK</ns0:t>
        </ns0:is>
      </ns0:c>
    </ns0:row>
    <ns0:row r="6" ht="24" customHeight="1">
      <ns0:c r="A6" s="9" t="inlineStr">
        <ns0:is>
          <ns0:t>Change the team</ns0:t>
        </ns0:is>
      </ns0:c>
      <ns0:c r="B6" s="18" t="inlineStr">
        <ns0:is>
          <ns0:t>Inputs!C5 = total developers; C6 = juniors. Experienced count is calculated. Example: 3 total and 1 junior means 2 experienced developers.</ns0:t>
        </ns0:is>
      </ns0:c>
    </ns0:row>
    <ns0:row r="7" ht="24" customHeight="1"/>
    <ns0:row r="8" ht="24" customHeight="1">
      <ns0:c r="A8" s="9" t="inlineStr">
        <ns0:is>
          <ns0:t>Review capacity</ns0:t>
        </ns0:is>
      </ns0:c>
      <ns0:c r="B8" s="18" t="inlineStr">
        <ns0:is>
          <ns0:t>Check allocation, accepted-work rates and mentoring. Defaults reproduce the v1.0 assumptions: 28 experienced hours/week; junior 12 in recovery and 24 after recovery.</ns0:t>
        </ns0:is>
      </ns0:c>
    </ns0:row>
    <ns0:row r="9" ht="24" customHeight="1"/>
    <ns0:row r="10" ht="24" customHeight="1">
      <ns0:c r="A10" s="9" t="inlineStr">
        <ns0:is>
          <ns0:t>Review forecast</ns0:t>
        </ns0:is>
      </ns0:c>
      <ns0:c r="B10" s="18" t="inlineStr">
        <ns0:is>
          <ns0:t>Report shows milestones, schedule variance and allocated hours. Plan shows phase calculations. Scenarios compares role mixes without changing the active plan.</ns0:t>
        </ns0:is>
      </ns0:c>
    </ns0:row>
    <ns0:row r="11" ht="24" customHeight="1"/>
    <ns0:row r="12" ht="24" customHeight="1">
      <ns0:c r="A12" s="9" t="inlineStr">
        <ns0:is>
          <ns0:t>Edit the estimate</ns0:t>
        </ns0:is>
      </ns0:c>
      <ns0:c r="B12" s="18" t="inlineStr">
        <ns0:is>
          <ns0:t>Plan blue cells change work, minimum duration, critical lead slots and waits. Inputs!C24 applies one work multiplier. Save a baseline copy before changing estimates.</ns0:t>
        </ns0:is>
      </ns0:c>
    </ns0:row>
    <ns0:row r="13" ht="24" customHeight="1"/>
    <ns0:row r="14" ht="24" customHeight="1">
      <ns0:c r="A14" s="9" t="inlineStr">
        <ns0:is>
          <ns0:t>Share the report</ns0:t>
        </ns0:is>
      </ns0:c>
      <ns0:c r="B14" s="18" t="inlineStr">
        <ns0:is>
          <ns0:t>Print the Report tab or use it during the meeting. Excel formulas update without macros or scripts. The .md and .docx contain stable idea/detail, not a synchronized date snapshot.</ns0:t>
        </ns0:is>
      </ns0:c>
    </ns0:row>
    <ns0:row r="15" ht="24" customHeight="1"/>
    <ns0:row r="16" ht="23" customHeight="1"/>
    <ns0:row r="17" ht="24" customHeight="1">
      <ns0:c r="A17" s="7" t="inlineStr">
        <ns0:is>
          <ns0:t>WHAT THE MODEL DOES</ns0:t>
        </ns0:is>
      </ns0:c>
    </ns0:row>
    <ns0:row r="18" ht="24" customHeight="1">
      <ns0:c r="A18" s="9" t="inlineStr">
        <ns0:is>
          <ns0:t>Capacity</ns0:t>
        </ns0:is>
      </ns0:c>
      <ns0:c r="B18" s="18" t="inlineStr">
        <ns0:is>
          <ns0:t>Experienced pool = people x paid hours x allocation x usable-time rate minus allocated-junior mentoring. Split mentoring evenly across the experienced pool.</ns0:t>
        </ns0:is>
      </ns0:c>
    </ns0:row>
    <ns0:row r="19" ht="24" customHeight="1"/>
    <ns0:row r="20" ht="24" customHeight="1">
      <ns0:c r="A20" s="9" t="inlineStr">
        <ns0:is>
          <ns0:t>Work assignment</ns0:t>
        </ns0:is>
      </ns0:c>
      <ns0:c r="B20" s="18" t="inlineStr">
        <ns0:is>
          <ns0:t>Expert-only work cannot be delegated to juniors. Support work may be done by juniors or spare experienced capacity; total work is counted once.</ns0:t>
        </ns0:is>
      </ns0:c>
    </ns0:row>
    <ns0:row r="21" ht="24" customHeight="1"/>
    <ns0:row r="22" ht="24" customHeight="1">
      <ns0:c r="A22" s="9" t="inlineStr">
        <ns0:is>
          <ns0:t>Duration</ns0:t>
        </ns0:is>
      </ns0:c>
      <ns0:c r="B22" s="18" t="inlineStr">
        <ns0:is>
          <ns0:t>For each phase, take MAX(minimum weeks, expert work / expert critical capacity, all work / combined capacity). Multiply work by the estimate factor and round up to the selected step.</ns0:t>
        </ns0:is>
      </ns0:c>
    </ns0:row>
    <ns0:row r="23" ht="24" customHeight="1"/>
    <ns0:row r="24" ht="24" customHeight="1">
      <ns0:c r="A24" s="9" t="inlineStr">
        <ns0:is>
          <ns0:t>Sequence and waits</ns0:t>
        </ns0:is>
      </ns0:c>
      <ns0:c r="B24" s="18" t="inlineStr">
        <ns0:is>
          <ns0:t>Phases are sequential. Roles may work together within a phase. Waiting weeks are added before that phase; the team is assumed allocated through waits and reserve.</ns0:t>
        </ns0:is>
      </ns0:c>
    </ns0:row>
    <ns0:row r="25" ht="24" customHeight="1"/>
    <ns0:row r="26" ht="24" customHeight="1">
      <ns0:c r="A26" s="9" t="inlineStr">
        <ns0:is>
          <ns0:t>Scope and limits</ns0:t>
        </ns0:is>
      </ns0:c>
      <ns0:c r="B26" s="18" t="inlineStr">
        <ns0:is>
          <ns0:t>No automatic feature removal, gate pass or initiative switch. No holiday calendar, individual join dates, actual-progress tracking, overtime or independent assurance. Larger teams require a lead review of parallel-work caps.</ns0:t>
        </ns0:is>
      </ns0:c>
    </ns0:row>
    <ns0:row r="27" ht="24" customHeight="1"/>
    <ns0:row r="28" ht="23" customHeight="1"/>
    <ns0:row r="29" ht="24" customHeight="1">
      <ns0:c r="A29" s="7" t="inlineStr">
        <ns0:is>
          <ns0:t>TRACEABILITY AND APPROVAL</ns0:t>
        </ns0:is>
      </ns0:c>
    </ns0:row>
    <ns0:row r="30" ht="24" customHeight="1">
      <ns0:c r="A30" s="9" t="inlineStr">
        <ns0:is>
          <ns0:t>Planning source [P1]</ns0:t>
        </ns0:is>
      </ns0:c>
      <ns0:c r="B30" s="18" t="inlineStr">
        <ns0:is>
          <ns0:t>SDV_Telematics_Vehicle_Status_AAOS_First_Plan_Revision_EN.md: AAOS-first baseline, core separation, mapping/cloud substitutions, S1-S6 and claim limits.</ns0:t>
        </ns0:is>
      </ns0:c>
    </ns0:row>
    <ns0:row r="31" ht="24" customHeight="1"/>
    <ns0:row r="32" ht="24" customHeight="1">
      <ns0:c r="A32" s="9" t="inlineStr">
        <ns0:is>
          <ns0:t>Resource source [P2]</ns0:t>
        </ns0:is>
      </ns0:c>
      <ns0:c r="B32" s="18" t="inlineStr">
        <ns0:is>
          <ns0:t>SDV_Vehicle_Status_DAR_EN_v1_0_One_Senior_One_Junior.md: sections 20 and 20B supply the capacity assumptions and 476 expert / 352 junior-work hours. Sections 2A-3A supply the Automotive alternatives.</ns0:t>
        </ns0:is>
      </ns0:c>
    </ns0:row>
    <ns0:row r="33" ht="24" customHeight="1"/>
    <ns0:row r="34" ht="24" customHeight="1">
      <ns0:c r="A34" s="9" t="inlineStr">
        <ns0:is>
          <ns0:t>Model additions</ns0:t>
        </ns0:is>
      </ns0:c>
      <ns0:c r="B34" s="18" t="inlineStr">
        <ns0:is>
          <ns0:t>Phase W5-W6 split equally for the Gate B checkpoint. Junior work becomes a shared-work pool. Phase floors, contributor caps, rounding, scenario staffing and wait controls are editable modeling assumptions, not measured facts.</ns0:t>
        </ns0:is>
      </ns0:c>
    </ns0:row>
    <ns0:row r="35" ht="24" customHeight="1"/>
    <ns0:row r="36" ht="24" customHeight="1">
      <ns0:c r="A36" s="9" t="inlineStr">
        <ns0:is>
          <ns0:t>Baseline reconciliation</ns0:t>
        </ns0:is>
      </ns0:c>
      <ns0:c r="B36" s="18" t="inlineStr">
        <ns0:is>
          <ns0:t>Default inputs yield recovery week 2, core Gate B week 5, reduced demo week 8, full MVP week 18 and reserve endpoint week 20. These reconcile to the prior proposal; they are not approved dates.</ns0:t>
        </ns0:is>
      </ns0:c>
    </ns0:row>
    <ns0:row r="37" ht="24" customHeight="1"/>
    <ns0:row r="38" ht="24" customHeight="1">
      <ns0:c r="A38" s="9" t="inlineStr">
        <ns0:is>
          <ns0:t>Approvals still needed</ns0:t>
        </ns0:is>
      </ns0:c>
      <ns0:c r="B38" s="18" t="inlineStr">
        <ns0:is>
          <ns0:t>Sponsor confirms objective, people, start, capacity and funding. Senior validates workload, skills, semantics, security and gate evidence. Re-estimate after recovery; record accepted deviations.</ns0:t>
        </ns0:is>
      </ns0:c>
    </ns0:row>
    <ns0:row r="39" ht="24" customHeight="1"/>
    <ns0:row r="40" ht="23" customHeight="1"/>
    <ns0:row r="41" ht="23" customHeight="1"/>
    <ns0:row r="42" ht="23" customHeight="1"/>
    <ns0:row r="43" ht="23" customHeight="1"/>
    <ns0:row r="44" ht="23" customHeight="1"/>
    <ns0:row r="45" ht="23" customHeight="1"/>
    <ns0:row r="46" ht="23" customHeight="1"/>
    <ns0:row r="47" ht="23" customHeight="1"/>
    <ns0:row r="48" ht="23" customHeight="1"/>
    <ns0:row r="49" ht="23" customHeight="1"/>
    <ns0:row r="50" ht="23" customHeight="1"/>
    <ns0:row r="51" ht="23" customHeight="1"/>
    <ns0:row r="52" ht="23" customHeight="1"/>
    <ns0:row r="53" ht="23" customHeight="1"/>
    <ns0:row r="54" ht="23" customHeight="1"/>
    <ns0:row r="55" ht="23" customHeight="1"/>
    <ns0:row r="56" ht="23" customHeight="1"/>
    <ns0:row r="57" ht="23" customHeight="1"/>
    <ns0:row r="58" ht="23" customHeight="1"/>
    <ns0:row r="59" ht="23" customHeight="1"/>
    <ns0:row r="60" ht="23" customHeight="1"/>
    <ns0:row r="61" ht="23" customHeight="1"/>
    <ns0:row r="62" ht="23" customHeight="1"/>
    <ns0:row r="63" ht="23" customHeight="1"/>
    <ns0:row r="64" ht="23" customHeight="1"/>
  </ns0:sheetData>
  <ns0:mergeCells count="20">
    <ns0:mergeCell ref="B34:F35"/>
    <ns0:mergeCell ref="B10:F11"/>
    <ns0:mergeCell ref="B6:F7"/>
    <ns0:mergeCell ref="A3:F3"/>
    <ns0:mergeCell ref="B24:F25"/>
    <ns0:mergeCell ref="B36:F37"/>
    <ns0:mergeCell ref="A5:F5"/>
    <ns0:mergeCell ref="B20:F21"/>
    <ns0:mergeCell ref="A1:F2"/>
    <ns0:mergeCell ref="A17:F17"/>
    <ns0:mergeCell ref="B32:F33"/>
    <ns0:mergeCell ref="B30:F31"/>
    <ns0:mergeCell ref="A29:F29"/>
    <ns0:mergeCell ref="B22:F23"/>
    <ns0:mergeCell ref="B26:F27"/>
    <ns0:mergeCell ref="B18:F19"/>
    <ns0:mergeCell ref="B12:F13"/>
    <ns0:mergeCell ref="B8:F9"/>
    <ns0:mergeCell ref="B38:F39"/>
    <ns0:mergeCell ref="B14:F15"/>
  </ns0:mergeCells>
  <ns0:printOptions horizontalCentered="1"/>
  <ns0:pageMargins left="0.3" right="0.3" top="0.4" bottom="0.4" header="0.5" footer="0.5"/>
  <ns0:pageSetup orientation="landscape" paperSize="9" fitToHeight="0" fitToWidth="1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Engineering Planning</dc:creator>
  <dc:title xmlns:dc="http://purl.org/dc/elements/1.1/">SDV Vehicle Status - Resource-driven plan</dc:title>
  <dc:description xmlns:dc="http://purl.org/dc/elements/1.1/">Version 1.1. Proposal, not approved delivery dates or completed acceptance evidence.</dc:description>
  <dc:subject xmlns:dc="http://purl.org/dc/elements/1.1/">Short DAR companion; editable team and formula-based forecast</dc:subject>
  <dcterms:created xmlns:dcterms="http://purl.org/dc/terms/" xmlns:xsi="http://www.w3.org/2001/XMLSchema-instance" xsi:type="dcterms:W3CDTF">2026-09-08T11:35:25Z</dcterms:created>
  <dcterms:modified xmlns:dcterms="http://purl.org/dc/terms/" xmlns:xsi="http://www.w3.org/2001/XMLSchema-instance" xsi:type="dcterms:W3CDTF">2026-09-08T11:35:25Z</dcterms:modified>
</cp:coreProperties>
</file>