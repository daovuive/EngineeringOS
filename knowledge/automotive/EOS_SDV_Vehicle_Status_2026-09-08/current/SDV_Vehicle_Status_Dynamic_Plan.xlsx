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Inputs" sheetId="2" state="visible" r:id="rId2"/>
    <sheet xmlns:r="http://schemas.openxmlformats.org/officeDocument/2006/relationships" name="Plan" sheetId="3" state="visible" r:id="rId3"/>
    <sheet xmlns:r="http://schemas.openxmlformats.org/officeDocument/2006/relationships" name="Scenarios" sheetId="4" state="visible" r:id="rId4"/>
    <sheet xmlns:r="http://schemas.openxmlformats.org/officeDocument/2006/relationships" name="Business Case" sheetId="5" state="visible" r:id="rId5"/>
    <sheet xmlns:r="http://schemas.openxmlformats.org/officeDocument/2006/relationships" name="Guide" sheetId="6" state="visible" r:id="rId6"/>
  </sheets>
  <definedNames>
    <definedName name="_xlnm.Print_Area" localSheetId="0">'Report'!$A$1:$H$35</definedName>
    <definedName name="_xlnm.Print_Area" localSheetId="1">'Inputs'!$A$1:$F$35</definedName>
    <definedName name="_xlnm._FilterDatabase" localSheetId="2" hidden="1">'Plan'!$A$8:$L$17</definedName>
    <definedName name="_xlnm.Print_Titles" localSheetId="2">'Plan'!$1:$8</definedName>
    <definedName name="_xlnm.Print_Area" localSheetId="2">'Plan'!$A$1:$L$29</definedName>
    <definedName name="_xlnm.Print_Area" localSheetId="3">'Scenarios'!$A$1:$I$25</definedName>
    <definedName name="_xlnm.Print_Area" localSheetId="4">'Business Case'!$A$1:$F$42</definedName>
    <definedName name="_xlnm.Print_Area" localSheetId="5">'Guide'!$A$1:$F$49</definedName>
  </definedNames>
  <calcPr calcId="124519" calcMode="auto" fullCalcOnLoad="1" calcOnSave="1" forceFullCalc="1"/>
</workbook>
</file>

<file path=xl/styles.xml><?xml version="1.0" encoding="utf-8"?>
<styleSheet xmlns="http://schemas.openxmlformats.org/spreadsheetml/2006/main">
  <numFmts count="7">
    <numFmt numFmtId="164" formatCode="0.0"/>
    <numFmt numFmtId="165" formatCode="dd mmm yyyy"/>
    <numFmt numFmtId="166" formatCode="+0.0;-0.0;&quot;On target&quot;"/>
    <numFmt numFmtId="167" formatCode="#,##0&quot; allocated hours&quot;"/>
    <numFmt numFmtId="168" formatCode="#,##0&quot; h incl. reserve&quot;"/>
    <numFmt numFmtId="169" formatCode="0.00&quot;x&quot;"/>
    <numFmt numFmtId="170" formatCode="#,##0.00;[Red](#,##0.00);&quot;-&quot;"/>
  </numFmts>
  <fonts count="18">
    <font>
      <name val="Calibri"/>
      <family val="2"/>
      <color theme="1"/>
      <sz val="11"/>
      <scheme val="minor"/>
    </font>
    <font>
      <name val="Calibri"/>
      <b val="1"/>
      <color rgb="00687581"/>
      <sz val="23"/>
    </font>
    <font>
      <name val="Calibri"/>
      <b val="1"/>
      <color rgb="0017364D"/>
      <sz val="23"/>
    </font>
    <font>
      <name val="Calibri"/>
      <color rgb="00687581"/>
      <sz val="10"/>
    </font>
    <font>
      <name val="Calibri"/>
      <b val="1"/>
      <color rgb="00687581"/>
      <sz val="11"/>
    </font>
    <font>
      <name val="Calibri"/>
      <b val="1"/>
      <color rgb="00FFFFFF"/>
      <sz val="11"/>
    </font>
    <font>
      <name val="Calibri"/>
      <b val="1"/>
      <color rgb="001755BD"/>
      <sz val="11"/>
    </font>
    <font>
      <name val="Calibri"/>
      <b val="1"/>
      <color rgb="00000000"/>
      <sz val="11"/>
    </font>
    <font>
      <name val="Calibri"/>
      <color rgb="00687581"/>
      <sz val="11"/>
    </font>
    <font>
      <name val="Calibri"/>
      <color rgb="001755BD"/>
      <sz val="11"/>
    </font>
    <font>
      <name val="Calibri"/>
      <color rgb="0070429A"/>
      <sz val="11"/>
    </font>
    <font>
      <name val="Calibri"/>
      <color rgb="00000000"/>
      <sz val="11"/>
    </font>
    <font>
      <name val="Calibri"/>
      <b val="1"/>
      <color rgb="0070429A"/>
      <sz val="11"/>
    </font>
    <font>
      <name val="Calibri"/>
      <b val="1"/>
      <color rgb="00687581"/>
      <sz val="10"/>
    </font>
    <font>
      <name val="Calibri"/>
      <b val="1"/>
      <color rgb="00FFFFFF"/>
      <sz val="10"/>
    </font>
    <font>
      <name val="Calibri"/>
      <b val="1"/>
      <color rgb="00000000"/>
      <sz val="27"/>
    </font>
    <font>
      <name val="Calibri"/>
      <color rgb="00000000"/>
      <sz val="10"/>
    </font>
    <font>
      <name val="Calibri"/>
      <color rgb="00267444"/>
      <sz val="11"/>
    </font>
  </fonts>
  <fills count="8">
    <fill>
      <patternFill/>
    </fill>
    <fill>
      <patternFill patternType="gray125"/>
    </fill>
    <fill>
      <patternFill patternType="solid">
        <fgColor rgb="0017364D"/>
      </patternFill>
    </fill>
    <fill>
      <patternFill patternType="solid">
        <fgColor rgb="00EDF4FF"/>
      </patternFill>
    </fill>
    <fill>
      <patternFill patternType="solid">
        <fgColor rgb="00F3F5F7"/>
      </patternFill>
    </fill>
    <fill>
      <patternFill patternType="solid">
        <fgColor rgb="00DDEFF0"/>
      </patternFill>
    </fill>
    <fill>
      <patternFill patternType="solid">
        <fgColor rgb="00FFF0D4"/>
      </patternFill>
    </fill>
    <fill>
      <patternFill patternType="solid">
        <fgColor rgb="00DEF0F1"/>
      </patternFill>
    </fill>
  </fills>
  <borders count="1">
    <border>
      <left/>
      <right/>
      <top/>
      <bottom/>
      <diagonal/>
    </border>
  </borders>
  <cellStyleXfs count="1">
    <xf numFmtId="0" fontId="0" fillId="0" borderId="0"/>
  </cellStyleXfs>
  <cellXfs count="66">
    <xf numFmtId="0" fontId="0" fillId="0" borderId="0" pivotButton="0" quotePrefix="0" xfId="0"/>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8" fillId="3" borderId="0" applyAlignment="1" pivotButton="0" quotePrefix="0" xfId="0">
      <alignment horizontal="left" vertical="center" wrapText="1"/>
    </xf>
    <xf numFmtId="0" fontId="13" fillId="5" borderId="0" applyAlignment="1" pivotButton="0" quotePrefix="0" xfId="0">
      <alignment horizontal="center" vertical="center" wrapText="1"/>
    </xf>
    <xf numFmtId="164" fontId="15" fillId="5" borderId="0" applyAlignment="1" pivotButton="0" quotePrefix="0" xfId="0">
      <alignment horizontal="center" vertical="center" wrapText="1"/>
    </xf>
    <xf numFmtId="0" fontId="11" fillId="0" borderId="0" applyAlignment="1" pivotButton="0" quotePrefix="0" xfId="0">
      <alignment horizontal="left" vertical="center" wrapText="1"/>
    </xf>
    <xf numFmtId="0" fontId="5" fillId="2" borderId="0" applyAlignment="1" pivotButton="0" quotePrefix="0" xfId="0">
      <alignment horizontal="left" vertical="center" wrapText="1"/>
    </xf>
    <xf numFmtId="0" fontId="13" fillId="4" borderId="0" applyAlignment="1" pivotButton="0" quotePrefix="0" xfId="0">
      <alignment horizontal="center" vertical="center" wrapText="1"/>
    </xf>
    <xf numFmtId="0" fontId="4" fillId="0" borderId="0" applyAlignment="1" pivotButton="0" quotePrefix="0" xfId="0">
      <alignment horizontal="left"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8" fillId="0" borderId="0" applyAlignment="1" pivotButton="0" quotePrefix="0" xfId="0">
      <alignment horizontal="center" vertical="center" wrapText="1"/>
    </xf>
    <xf numFmtId="166"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166" fontId="1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3" fillId="0" borderId="0" applyAlignment="1" pivotButton="0" quotePrefix="0" xfId="0">
      <alignment horizontal="left" vertical="center" wrapText="1"/>
    </xf>
    <xf numFmtId="0" fontId="8" fillId="0" borderId="0" applyAlignment="1" pivotButton="0" quotePrefix="0" xfId="0">
      <alignment horizontal="left" vertical="center" wrapText="1"/>
    </xf>
    <xf numFmtId="167" fontId="7" fillId="0" borderId="0" applyAlignment="1" pivotButton="0" quotePrefix="0" xfId="0">
      <alignment horizontal="left" vertical="center" wrapText="1"/>
    </xf>
    <xf numFmtId="168" fontId="11" fillId="0" borderId="0" applyAlignment="1" pivotButton="0" quotePrefix="0" xfId="0">
      <alignment horizontal="left" vertical="center" wrapText="1"/>
    </xf>
    <xf numFmtId="0" fontId="7" fillId="5" borderId="0" applyAlignment="1" pivotButton="0" quotePrefix="0" xfId="0">
      <alignment horizontal="left" vertical="center" wrapText="1"/>
    </xf>
    <xf numFmtId="0" fontId="3" fillId="6"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3" borderId="0" applyAlignment="1" applyProtection="1" pivotButton="0" quotePrefix="0" xfId="0">
      <alignment horizontal="center" vertical="center" wrapText="1"/>
      <protection locked="0" hidden="0"/>
    </xf>
    <xf numFmtId="0" fontId="7" fillId="4" borderId="0" applyAlignment="1" pivotButton="0" quotePrefix="0" xfId="0">
      <alignment horizontal="center" vertical="center" wrapText="1"/>
    </xf>
    <xf numFmtId="0" fontId="9" fillId="3" borderId="0" applyAlignment="1" applyProtection="1" pivotButton="0" quotePrefix="0" xfId="0">
      <alignment horizontal="center" vertical="center" wrapText="1"/>
      <protection locked="0" hidden="0"/>
    </xf>
    <xf numFmtId="9" fontId="9" fillId="3" borderId="0" applyAlignment="1" applyProtection="1" pivotButton="0" quotePrefix="0" xfId="0">
      <alignment horizontal="center" vertical="center" wrapText="1"/>
      <protection locked="0" hidden="0"/>
    </xf>
    <xf numFmtId="164" fontId="9" fillId="3" borderId="0" applyAlignment="1" applyProtection="1" pivotButton="0" quotePrefix="0" xfId="0">
      <alignment horizontal="center" vertical="center" wrapText="1"/>
      <protection locked="0" hidden="0"/>
    </xf>
    <xf numFmtId="165" fontId="9" fillId="3" borderId="0" applyAlignment="1" applyProtection="1" pivotButton="0" quotePrefix="0" xfId="0">
      <alignment horizontal="center" vertical="center" wrapText="1"/>
      <protection locked="0" hidden="0"/>
    </xf>
    <xf numFmtId="169" fontId="9" fillId="3" borderId="0" applyAlignment="1" applyProtection="1" pivotButton="0" quotePrefix="0" xfId="0">
      <alignment horizontal="center" vertical="center" wrapText="1"/>
      <protection locked="0" hidden="0"/>
    </xf>
    <xf numFmtId="0" fontId="10" fillId="0" borderId="0" applyAlignment="1" pivotButton="0" quotePrefix="0" xfId="0">
      <alignment horizontal="left" vertical="center" wrapText="1"/>
    </xf>
    <xf numFmtId="0" fontId="10" fillId="4" borderId="0" applyAlignment="1" pivotButton="0" quotePrefix="0" xfId="0">
      <alignment horizontal="center" vertical="center" wrapText="1"/>
    </xf>
    <xf numFmtId="164" fontId="11" fillId="5" borderId="0" applyAlignment="1" pivotButton="0" quotePrefix="0" xfId="0">
      <alignment horizontal="center" vertical="center" wrapText="1"/>
    </xf>
    <xf numFmtId="0" fontId="12" fillId="0" borderId="0" applyAlignment="1" pivotButton="0" quotePrefix="0" xfId="0">
      <alignment horizontal="left" vertical="center" wrapText="1"/>
    </xf>
    <xf numFmtId="0" fontId="7" fillId="5" borderId="0" applyAlignment="1" pivotButton="0" quotePrefix="0" xfId="0">
      <alignment horizontal="center" vertical="center" wrapText="1"/>
    </xf>
    <xf numFmtId="0" fontId="8" fillId="5" borderId="0" applyAlignment="1" pivotButton="0" quotePrefix="0" xfId="0">
      <alignment horizontal="left" vertical="center" wrapText="1"/>
    </xf>
    <xf numFmtId="0" fontId="14" fillId="2" borderId="0" applyAlignment="1" pivotButton="0" quotePrefix="0" xfId="0">
      <alignment horizontal="center" vertical="center" wrapText="1"/>
    </xf>
    <xf numFmtId="0" fontId="14" fillId="2" borderId="0" applyAlignment="1" pivotButton="0" quotePrefix="0" xfId="0">
      <alignment horizontal="left" vertical="center" wrapText="1"/>
    </xf>
    <xf numFmtId="0" fontId="8" fillId="0" borderId="0" applyAlignment="1" pivotButton="0" quotePrefix="0" xfId="0">
      <alignment horizontal="center" vertical="center" wrapText="1"/>
    </xf>
    <xf numFmtId="164" fontId="7" fillId="5" borderId="0" applyAlignment="1" pivotButton="0" quotePrefix="0" xfId="0">
      <alignment horizontal="center" vertical="center" wrapText="1"/>
    </xf>
    <xf numFmtId="165" fontId="7" fillId="5" borderId="0" applyAlignment="1" pivotButton="0" quotePrefix="0" xfId="0">
      <alignment horizontal="center" vertical="center" wrapText="1"/>
    </xf>
    <xf numFmtId="0" fontId="8" fillId="4" borderId="0" applyAlignment="1" pivotButton="0" quotePrefix="0" xfId="0">
      <alignment horizontal="left" vertical="center" wrapText="1"/>
    </xf>
    <xf numFmtId="0" fontId="17" fillId="5" borderId="0" applyAlignment="1" pivotButton="0" quotePrefix="0" xfId="0">
      <alignment horizontal="center" vertical="center" wrapText="1"/>
    </xf>
    <xf numFmtId="0" fontId="11" fillId="0" borderId="0" applyAlignment="1" pivotButton="0" quotePrefix="0" xfId="0">
      <alignment horizontal="center" vertical="center" wrapText="1"/>
    </xf>
    <xf numFmtId="3" fontId="7" fillId="5" borderId="0" applyAlignment="1" pivotButton="0" quotePrefix="0" xfId="0">
      <alignment horizontal="center" vertical="center" wrapText="1"/>
    </xf>
    <xf numFmtId="0" fontId="7" fillId="0" borderId="0" applyAlignment="1" pivotButton="0" quotePrefix="0" xfId="0">
      <alignment horizontal="left" vertical="center" wrapText="1"/>
    </xf>
    <xf numFmtId="3"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6" fontId="8" fillId="0" borderId="0" applyAlignment="1" pivotButton="0" quotePrefix="0" xfId="0">
      <alignment horizontal="center" vertical="center" wrapText="1"/>
    </xf>
    <xf numFmtId="166" fontId="11" fillId="0" borderId="0" applyAlignment="1" pivotButton="0" quotePrefix="0" xfId="0">
      <alignment horizontal="center" vertical="center" wrapText="1"/>
    </xf>
    <xf numFmtId="167" fontId="7" fillId="0" borderId="0" applyAlignment="1" pivotButton="0" quotePrefix="0" xfId="0">
      <alignment horizontal="left" vertical="center" wrapText="1"/>
    </xf>
    <xf numFmtId="168" fontId="11" fillId="0" borderId="0" applyAlignment="1" pivotButton="0" quotePrefix="0" xfId="0">
      <alignment horizontal="left" vertical="center" wrapText="1"/>
    </xf>
    <xf numFmtId="165" fontId="9" fillId="3" borderId="0" applyAlignment="1" applyProtection="1" pivotButton="0" quotePrefix="0" xfId="0">
      <alignment horizontal="center" vertical="center" wrapText="1"/>
      <protection locked="0" hidden="0"/>
    </xf>
    <xf numFmtId="169" fontId="9" fillId="3" borderId="0" applyAlignment="1" applyProtection="1" pivotButton="0" quotePrefix="0" xfId="0">
      <alignment horizontal="center" vertical="center" wrapText="1"/>
      <protection locked="0" hidden="0"/>
    </xf>
    <xf numFmtId="165" fontId="7" fillId="5" borderId="0" applyAlignment="1" pivotButton="0" quotePrefix="0" xfId="0">
      <alignment horizontal="center" vertical="center" wrapText="1"/>
    </xf>
    <xf numFmtId="0" fontId="11" fillId="5"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5" fillId="2" borderId="0" applyAlignment="1" pivotButton="0" quotePrefix="0" xfId="0">
      <alignment vertical="center" wrapText="1"/>
    </xf>
    <xf numFmtId="0" fontId="8" fillId="0" borderId="0" applyAlignment="1" pivotButton="0" quotePrefix="0" xfId="0">
      <alignment vertical="center" wrapText="1"/>
    </xf>
    <xf numFmtId="170" fontId="6" fillId="3" borderId="0" applyAlignment="1" applyProtection="1" pivotButton="0" quotePrefix="0" xfId="0">
      <alignment horizontal="center" vertical="center" wrapText="1"/>
      <protection locked="0" hidden="0"/>
    </xf>
    <xf numFmtId="0" fontId="7" fillId="7" borderId="0" applyAlignment="1" pivotButton="0" quotePrefix="0" xfId="0">
      <alignment horizontal="center" vertical="center" wrapText="1"/>
    </xf>
    <xf numFmtId="170" fontId="7" fillId="7" borderId="0" applyAlignment="1" pivotButton="0" quotePrefix="0" xfId="0">
      <alignment horizontal="center" vertical="center" wrapText="1"/>
    </xf>
    <xf numFmtId="0" fontId="3" fillId="6" borderId="0" applyAlignment="1" pivotButton="0" quotePrefix="0" xfId="0">
      <alignment vertical="center" wrapText="1"/>
    </xf>
    <xf numFmtId="1" fontId="7" fillId="7" borderId="0" applyAlignment="1" pivotButton="0" quotePrefix="0" xfId="0">
      <alignment horizontal="center" vertical="center" wrapText="1"/>
    </xf>
  </cellXfs>
  <cellStyles count="1">
    <cellStyle name="Normal" xfId="0" builtinId="0" hidden="0"/>
  </cellStyles>
  <dxfs count="2">
    <dxf>
      <fill>
        <patternFill patternType="solid">
          <fgColor rgb="00FFF0D4"/>
        </patternFill>
      </fill>
    </dxf>
    <dxf>
      <fill>
        <patternFill patternType="solid">
          <fgColor rgb="00FCE7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Planning source</author>
    <author>Approval control</author>
  </authors>
  <commentList>
    <comment ref="C5" authorId="0" shapeId="0">
      <text>
        <t>Source: SDV_Vehicle_Status_Plan.xlsx v1.1 and DAR v1.0. Proposed planning assumption; confirm staffing, skills and actual availability at Gate A. Not a productivity benchmark.</t>
      </text>
    </comment>
    <comment ref="C6" authorId="0" shapeId="0">
      <text>
        <t>Source: SDV_Vehicle_Status_Plan.xlsx v1.1 and DAR v1.0. Proposed planning assumption; confirm staffing, skills and actual availability at Gate A. Not a productivity benchmark.</t>
      </text>
    </comment>
    <comment ref="C8" authorId="0" shapeId="0">
      <text>
        <t>Source: SDV_Vehicle_Status_Plan.xlsx v1.1 and DAR v1.0. Proposed planning assumption; confirm staffing, skills and actual availability at Gate A. Not a productivity benchmark.</t>
      </text>
    </comment>
    <comment ref="C9" authorId="0" shapeId="0">
      <text>
        <t>Source: SDV_Vehicle_Status_Plan.xlsx v1.1 and DAR v1.0. Proposed planning assumption; confirm staffing, skills and actual availability at Gate A. Not a productivity benchmark.</t>
      </text>
    </comment>
    <comment ref="C10" authorId="0" shapeId="0">
      <text>
        <t>Source: SDV_Vehicle_Status_Plan.xlsx v1.1 and DAR v1.0. Proposed planning assumption; confirm staffing, skills and actual availability at Gate A. Not a productivity benchmark.</t>
      </text>
    </comment>
    <comment ref="C12" authorId="0" shapeId="0">
      <text>
        <t>Source: SDV_Vehicle_Status_Plan.xlsx v1.1 and DAR v1.0. Proposed planning assumption; confirm staffing, skills and actual availability at Gate A. Not a productivity benchmark.</t>
      </text>
    </comment>
    <comment ref="C13" authorId="0" shapeId="0">
      <text>
        <t>Source: SDV_Vehicle_Status_Plan.xlsx v1.1 and DAR v1.0. Proposed planning assumption; confirm staffing, skills and actual availability at Gate A. Not a productivity benchmark.</t>
      </text>
    </comment>
    <comment ref="C14" authorId="0" shapeId="0">
      <text>
        <t>Source: SDV_Vehicle_Status_Plan.xlsx v1.1 and DAR v1.0. Proposed planning assumption; confirm staffing, skills and actual availability at Gate A. Not a productivity benchmark.</t>
      </text>
    </comment>
    <comment ref="C15" authorId="0" shapeId="0">
      <text>
        <t>Source: SDV_Vehicle_Status_Plan.xlsx v1.1 and DAR v1.0. Proposed planning assumption; confirm staffing, skills and actual availability at Gate A. Not a productivity benchmark.</t>
      </text>
    </comment>
    <comment ref="C16" authorId="0" shapeId="0">
      <text>
        <t>Source: SDV_Vehicle_Status_Plan.xlsx v1.1 and DAR v1.0. Proposed planning assumption; confirm staffing, skills and actual availability at Gate A. Not a productivity benchmark.</t>
      </text>
    </comment>
    <comment ref="C17" authorId="0" shapeId="0">
      <text>
        <t>Source: SDV_Vehicle_Status_Plan.xlsx v1.1 and DAR v1.0. Proposed planning assumption; confirm staffing, skills and actual availability at Gate A. Not a productivity benchmark.</t>
      </text>
    </comment>
    <comment ref="C19" authorId="1" shapeId="0">
      <text>
        <t>Start is not yet approved. Set a real Excel date after required access and resources are ready. Week forecasts work while this is blank.</t>
      </text>
    </comment>
    <comment ref="C20" authorId="0" shapeId="0">
      <text>
        <t>Source: SDV_Vehicle_Status_Plan.xlsx v1.1 and DAR v1.0. Proposed planning assumption; confirm staffing, skills and actual availability at Gate A. Not a productivity benchmark.</t>
      </text>
    </comment>
    <comment ref="C21" authorId="0" shapeId="0">
      <text>
        <t>Source: SDV_Vehicle_Status_Plan.xlsx v1.1 and DAR v1.0. Proposed planning assumption; confirm staffing, skills and actual availability at Gate A. Not a productivity benchmark.</t>
      </text>
    </comment>
    <comment ref="C22" authorId="0" shapeId="0">
      <text>
        <t>Source: SDV_Vehicle_Status_Plan.xlsx v1.1 and DAR v1.0. Proposed planning assumption; confirm staffing, skills and actual availability at Gate A. Not a productivity benchmark.</t>
      </text>
    </comment>
    <comment ref="C23" authorId="0" shapeId="0">
      <text>
        <t>Source: SDV_Vehicle_Status_Plan.xlsx v1.1 and DAR v1.0. Proposed planning assumption; confirm staffing, skills and actual availability at Gate A. Not a productivity benchmark.</t>
      </text>
    </comment>
    <comment ref="C24" authorId="0" shapeId="0">
      <text>
        <t>Source: SDV_Vehicle_Status_Plan.xlsx v1.1 and DAR v1.0. Proposed planning assumption; confirm staffing, skills and actual availability at Gate A. Not a productivity benchmark.</t>
      </text>
    </comment>
  </commentList>
</comments>
</file>

<file path=xl/comments/comment2.xml><?xml version="1.0" encoding="utf-8"?>
<comments xmlns="http://schemas.openxmlformats.org/spreadsheetml/2006/main">
  <authors>
    <author>Planning source</author>
  </authors>
  <commentList>
    <comment ref="C9" authorId="0" shapeId="0">
      <text>
        <t>Source: prior SDV_Vehicle_Status_Plan.xlsx, reconciled to DAR v1.0 sections 20/20B. Editable planning assumption, not a measurement. Work hours include review and tests; change scope only by approval.</t>
      </text>
    </comment>
    <comment ref="D9" authorId="0" shapeId="0">
      <text>
        <t>Source: prior SDV_Vehicle_Status_Plan.xlsx, reconciled to DAR v1.0 sections 20/20B. Editable planning assumption, not a measurement. Work hours include review and tests; change scope only by approval.</t>
      </text>
    </comment>
    <comment ref="E9" authorId="0" shapeId="0">
      <text>
        <t>Source: prior SDV_Vehicle_Status_Plan.xlsx, reconciled to DAR v1.0 sections 20/20B. Editable planning assumption, not a measurement. Work hours include review and tests; change scope only by approval.</t>
      </text>
    </comment>
    <comment ref="F9" authorId="0" shapeId="0">
      <text>
        <t>Source: prior SDV_Vehicle_Status_Plan.xlsx, reconciled to DAR v1.0 sections 20/20B. Editable planning assumption, not a measurement. Work hours include review and tests; change scope only by approval.</t>
      </text>
    </comment>
    <comment ref="G9" authorId="0" shapeId="0">
      <text>
        <t>Source: prior SDV_Vehicle_Status_Plan.xlsx, reconciled to DAR v1.0 sections 20/20B. Editable planning assumption, not a measurement. Work hours include review and tests; change scope only by approval.</t>
      </text>
    </comment>
    <comment ref="C10" authorId="0" shapeId="0">
      <text>
        <t>Source: prior SDV_Vehicle_Status_Plan.xlsx, reconciled to DAR v1.0 sections 20/20B. Editable planning assumption, not a measurement. Work hours include review and tests; change scope only by approval.</t>
      </text>
    </comment>
    <comment ref="D10" authorId="0" shapeId="0">
      <text>
        <t>Source: prior SDV_Vehicle_Status_Plan.xlsx, reconciled to DAR v1.0 sections 20/20B. Editable planning assumption, not a measurement. Work hours include review and tests; change scope only by approval.</t>
      </text>
    </comment>
    <comment ref="E10" authorId="0" shapeId="0">
      <text>
        <t>Source: prior SDV_Vehicle_Status_Plan.xlsx, reconciled to DAR v1.0 sections 20/20B. Editable planning assumption, not a measurement. Work hours include review and tests; change scope only by approval.</t>
      </text>
    </comment>
    <comment ref="F10" authorId="0" shapeId="0">
      <text>
        <t>Source: prior SDV_Vehicle_Status_Plan.xlsx, reconciled to DAR v1.0 sections 20/20B. Editable planning assumption, not a measurement. Work hours include review and tests; change scope only by approval.</t>
      </text>
    </comment>
    <comment ref="G10" authorId="0" shapeId="0">
      <text>
        <t>Source: prior SDV_Vehicle_Status_Plan.xlsx, reconciled to DAR v1.0 sections 20/20B. Editable planning assumption, not a measurement. Work hours include review and tests; change scope only by approval.</t>
      </text>
    </comment>
    <comment ref="C11" authorId="0" shapeId="0">
      <text>
        <t>Source: prior SDV_Vehicle_Status_Plan.xlsx, reconciled to DAR v1.0 sections 20/20B. Editable planning assumption, not a measurement. Work hours include review and tests; change scope only by approval.</t>
      </text>
    </comment>
    <comment ref="D11" authorId="0" shapeId="0">
      <text>
        <t>Source: prior SDV_Vehicle_Status_Plan.xlsx, reconciled to DAR v1.0 sections 20/20B. Editable planning assumption, not a measurement. Work hours include review and tests; change scope only by approval.</t>
      </text>
    </comment>
    <comment ref="E11" authorId="0" shapeId="0">
      <text>
        <t>Source: prior SDV_Vehicle_Status_Plan.xlsx, reconciled to DAR v1.0 sections 20/20B. Editable planning assumption, not a measurement. Work hours include review and tests; change scope only by approval.</t>
      </text>
    </comment>
    <comment ref="F11" authorId="0" shapeId="0">
      <text>
        <t>Source: prior SDV_Vehicle_Status_Plan.xlsx, reconciled to DAR v1.0 sections 20/20B. Editable planning assumption, not a measurement. Work hours include review and tests; change scope only by approval.</t>
      </text>
    </comment>
    <comment ref="G11" authorId="0" shapeId="0">
      <text>
        <t>Source: prior SDV_Vehicle_Status_Plan.xlsx, reconciled to DAR v1.0 sections 20/20B. Editable planning assumption, not a measurement. Work hours include review and tests; change scope only by approval.</t>
      </text>
    </comment>
    <comment ref="C12" authorId="0" shapeId="0">
      <text>
        <t>Source: prior SDV_Vehicle_Status_Plan.xlsx, reconciled to DAR v1.0 sections 20/20B. Editable planning assumption, not a measurement. Work hours include review and tests; change scope only by approval.</t>
      </text>
    </comment>
    <comment ref="D12" authorId="0" shapeId="0">
      <text>
        <t>Source: prior SDV_Vehicle_Status_Plan.xlsx, reconciled to DAR v1.0 sections 20/20B. Editable planning assumption, not a measurement. Work hours include review and tests; change scope only by approval.</t>
      </text>
    </comment>
    <comment ref="E12" authorId="0" shapeId="0">
      <text>
        <t>Source: prior SDV_Vehicle_Status_Plan.xlsx, reconciled to DAR v1.0 sections 20/20B. Editable planning assumption, not a measurement. Work hours include review and tests; change scope only by approval.</t>
      </text>
    </comment>
    <comment ref="F12" authorId="0" shapeId="0">
      <text>
        <t>Source: prior SDV_Vehicle_Status_Plan.xlsx, reconciled to DAR v1.0 sections 20/20B. Editable planning assumption, not a measurement. Work hours include review and tests; change scope only by approval.</t>
      </text>
    </comment>
    <comment ref="G12" authorId="0" shapeId="0">
      <text>
        <t>Source: prior SDV_Vehicle_Status_Plan.xlsx, reconciled to DAR v1.0 sections 20/20B. Editable planning assumption, not a measurement. Work hours include review and tests; change scope only by approval.</t>
      </text>
    </comment>
    <comment ref="C13" authorId="0" shapeId="0">
      <text>
        <t>Source: prior SDV_Vehicle_Status_Plan.xlsx, reconciled to DAR v1.0 sections 20/20B. Editable planning assumption, not a measurement. Work hours include review and tests; change scope only by approval.</t>
      </text>
    </comment>
    <comment ref="D13" authorId="0" shapeId="0">
      <text>
        <t>Source: prior SDV_Vehicle_Status_Plan.xlsx, reconciled to DAR v1.0 sections 20/20B. Editable planning assumption, not a measurement. Work hours include review and tests; change scope only by approval.</t>
      </text>
    </comment>
    <comment ref="E13" authorId="0" shapeId="0">
      <text>
        <t>Source: prior SDV_Vehicle_Status_Plan.xlsx, reconciled to DAR v1.0 sections 20/20B. Editable planning assumption, not a measurement. Work hours include review and tests; change scope only by approval.</t>
      </text>
    </comment>
    <comment ref="F13" authorId="0" shapeId="0">
      <text>
        <t>Source: prior SDV_Vehicle_Status_Plan.xlsx, reconciled to DAR v1.0 sections 20/20B. Editable planning assumption, not a measurement. Work hours include review and tests; change scope only by approval.</t>
      </text>
    </comment>
    <comment ref="G13" authorId="0" shapeId="0">
      <text>
        <t>Source: prior SDV_Vehicle_Status_Plan.xlsx, reconciled to DAR v1.0 sections 20/20B. Editable planning assumption, not a measurement. Work hours include review and tests; change scope only by approval.</t>
      </text>
    </comment>
    <comment ref="C14" authorId="0" shapeId="0">
      <text>
        <t>Source: prior SDV_Vehicle_Status_Plan.xlsx, reconciled to DAR v1.0 sections 20/20B. Editable planning assumption, not a measurement. Work hours include review and tests; change scope only by approval.</t>
      </text>
    </comment>
    <comment ref="D14" authorId="0" shapeId="0">
      <text>
        <t>Source: prior SDV_Vehicle_Status_Plan.xlsx, reconciled to DAR v1.0 sections 20/20B. Editable planning assumption, not a measurement. Work hours include review and tests; change scope only by approval.</t>
      </text>
    </comment>
    <comment ref="E14" authorId="0" shapeId="0">
      <text>
        <t>Source: prior SDV_Vehicle_Status_Plan.xlsx, reconciled to DAR v1.0 sections 20/20B. Editable planning assumption, not a measurement. Work hours include review and tests; change scope only by approval.</t>
      </text>
    </comment>
    <comment ref="F14" authorId="0" shapeId="0">
      <text>
        <t>Source: prior SDV_Vehicle_Status_Plan.xlsx, reconciled to DAR v1.0 sections 20/20B. Editable planning assumption, not a measurement. Work hours include review and tests; change scope only by approval.</t>
      </text>
    </comment>
    <comment ref="G14" authorId="0" shapeId="0">
      <text>
        <t>Source: prior SDV_Vehicle_Status_Plan.xlsx, reconciled to DAR v1.0 sections 20/20B. Editable planning assumption, not a measurement. Work hours include review and tests; change scope only by approval.</t>
      </text>
    </comment>
    <comment ref="C15" authorId="0" shapeId="0">
      <text>
        <t>Source: prior SDV_Vehicle_Status_Plan.xlsx, reconciled to DAR v1.0 sections 20/20B. Editable planning assumption, not a measurement. Work hours include review and tests; change scope only by approval.</t>
      </text>
    </comment>
    <comment ref="D15" authorId="0" shapeId="0">
      <text>
        <t>Source: prior SDV_Vehicle_Status_Plan.xlsx, reconciled to DAR v1.0 sections 20/20B. Editable planning assumption, not a measurement. Work hours include review and tests; change scope only by approval.</t>
      </text>
    </comment>
    <comment ref="E15" authorId="0" shapeId="0">
      <text>
        <t>Source: prior SDV_Vehicle_Status_Plan.xlsx, reconciled to DAR v1.0 sections 20/20B. Editable planning assumption, not a measurement. Work hours include review and tests; change scope only by approval.</t>
      </text>
    </comment>
    <comment ref="F15" authorId="0" shapeId="0">
      <text>
        <t>Source: prior SDV_Vehicle_Status_Plan.xlsx, reconciled to DAR v1.0 sections 20/20B. Editable planning assumption, not a measurement. Work hours include review and tests; change scope only by approval.</t>
      </text>
    </comment>
    <comment ref="G15" authorId="0" shapeId="0">
      <text>
        <t>Source: prior SDV_Vehicle_Status_Plan.xlsx, reconciled to DAR v1.0 sections 20/20B. Editable planning assumption, not a measurement. Work hours include review and tests; change scope only by approval.</t>
      </text>
    </comment>
    <comment ref="C16" authorId="0" shapeId="0">
      <text>
        <t>Source: prior SDV_Vehicle_Status_Plan.xlsx, reconciled to DAR v1.0 sections 20/20B. Editable planning assumption, not a measurement. Work hours include review and tests; change scope only by approval.</t>
      </text>
    </comment>
    <comment ref="D16" authorId="0" shapeId="0">
      <text>
        <t>Source: prior SDV_Vehicle_Status_Plan.xlsx, reconciled to DAR v1.0 sections 20/20B. Editable planning assumption, not a measurement. Work hours include review and tests; change scope only by approval.</t>
      </text>
    </comment>
    <comment ref="E16" authorId="0" shapeId="0">
      <text>
        <t>Source: prior SDV_Vehicle_Status_Plan.xlsx, reconciled to DAR v1.0 sections 20/20B. Editable planning assumption, not a measurement. Work hours include review and tests; change scope only by approval.</t>
      </text>
    </comment>
    <comment ref="F16" authorId="0" shapeId="0">
      <text>
        <t>Source: prior SDV_Vehicle_Status_Plan.xlsx, reconciled to DAR v1.0 sections 20/20B. Editable planning assumption, not a measurement. Work hours include review and tests; change scope only by approval.</t>
      </text>
    </comment>
    <comment ref="G16" authorId="0" shapeId="0">
      <text>
        <t>Source: prior SDV_Vehicle_Status_Plan.xlsx, reconciled to DAR v1.0 sections 20/20B. Editable planning assumption, not a measurement. Work hours include review and tests; change scope only by approval.</t>
      </text>
    </comment>
    <comment ref="C17" authorId="0" shapeId="0">
      <text>
        <t>Source: prior SDV_Vehicle_Status_Plan.xlsx, reconciled to DAR v1.0 sections 20/20B. Editable planning assumption, not a measurement. Work hours include review and tests; change scope only by approval.</t>
      </text>
    </comment>
    <comment ref="D17" authorId="0" shapeId="0">
      <text>
        <t>Source: prior SDV_Vehicle_Status_Plan.xlsx, reconciled to DAR v1.0 sections 20/20B. Editable planning assumption, not a measurement. Work hours include review and tests; change scope only by approval.</t>
      </text>
    </comment>
    <comment ref="E17" authorId="0" shapeId="0">
      <text>
        <t>Source: prior SDV_Vehicle_Status_Plan.xlsx, reconciled to DAR v1.0 sections 20/20B. Editable planning assumption, not a measurement. Work hours include review and tests; change scope only by approval.</t>
      </text>
    </comment>
    <comment ref="F17" authorId="0" shapeId="0">
      <text>
        <t>Source: prior SDV_Vehicle_Status_Plan.xlsx, reconciled to DAR v1.0 sections 20/20B. Editable planning assumption, not a measurement. Work hours include review and tests; change scope only by approval.</t>
      </text>
    </comment>
    <comment ref="G17" authorId="0" shapeId="0">
      <text>
        <t>Source: prior SDV_Vehicle_Status_Plan.xlsx, reconciled to DAR v1.0 sections 20/20B. Editable planning assumption, not a measurement. Work hours include review and tests; change scope only by approval.</t>
      </text>
    </comment>
  </commentList>
</comments>
</file>

<file path=xl/comments/comment3.xml><?xml version="1.0" encoding="utf-8"?>
<comments xmlns="http://schemas.openxmlformats.org/spreadsheetml/2006/main">
  <authors>
    <author>Input basis</author>
  </authors>
  <commentList>
    <comment ref="C5" authorId="0" shapeId="0">
      <text>
        <t>User/sponsor input required. No salary, market price or measured benefit has been assumed. State the basis and review date.</t>
      </text>
    </comment>
    <comment ref="C6" authorId="0" shapeId="0">
      <text>
        <t>User/sponsor input required. No salary, market price or measured benefit has been assumed. State the basis and review date.</t>
      </text>
    </comment>
    <comment ref="C7" authorId="0" shapeId="0">
      <text>
        <t>User/sponsor input required. No salary, market price or measured benefit has been assumed. State the basis and review date.</t>
      </text>
    </comment>
    <comment ref="C8" authorId="0" shapeId="0">
      <text>
        <t>User/sponsor input required. No salary, market price or measured benefit has been assumed. State the basis and review date.</t>
      </text>
    </comment>
    <comment ref="C9" authorId="0" shapeId="0">
      <text>
        <t>User/sponsor input required. No salary, market price or measured benefit has been assumed. State the basis and review date.</t>
      </text>
    </comment>
    <comment ref="C10" authorId="0" shapeId="0">
      <text>
        <t>User/sponsor input required. No salary, market price or measured benefit has been assumed. State the basis and review date.</t>
      </text>
    </comment>
    <comment ref="C25" authorId="0" shapeId="0">
      <text>
        <t>User/sponsor input required. No salary, market price or measured benefit has been assumed. State the basis and review date.</t>
      </text>
    </comment>
    <comment ref="C26" authorId="0" shapeId="0">
      <text>
        <t>User/sponsor input required. No salary, market price or measured benefit has been assumed. State the basis and review date.</t>
      </text>
    </comment>
    <comment ref="C27" authorId="0" shapeId="0">
      <text>
        <t>User/sponsor input required. No salary, market price or measured benefit has been assumed. State the basis and review date.</t>
      </text>
    </comment>
    <comment ref="C28" authorId="0" shapeId="0">
      <text>
        <t>User/sponsor input required. No salary, market price or measured benefit has been assumed. State the basis and review date.</t>
      </text>
    </comment>
    <comment ref="C29" authorId="0" shapeId="0">
      <text>
        <t>User/sponsor input required. No salary, market price or measured benefit has been assumed. State the basis and review date.</t>
      </text>
    </comment>
    <comment ref="C30" authorId="0" shapeId="0">
      <text>
        <t>User/sponsor input required. No salary, market price or measured benefit has been assumed. State the basis and review 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45F66"/>
    <outlinePr summaryBelow="1" summaryRight="1"/>
    <pageSetUpPr fitToPage="1"/>
  </sheetPr>
  <dimension ref="A1:H35"/>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0" customHeight="1">
      <c r="A1" s="1" t="inlineStr">
        <is>
          <t>Vehicle Status | approval summary</t>
        </is>
      </c>
    </row>
    <row r="2" ht="20" customHeight="1"/>
    <row r="3" ht="30" customHeight="1">
      <c r="A3" s="2" t="inlineStr">
        <is>
          <t>AAOS-first reuse pilot  /  DAR-SDV-VS-001 v1.2  /  recovery approval requested</t>
        </is>
      </c>
    </row>
    <row r="4" ht="18" customHeight="1">
      <c r="A4" s="3" t="inlineStr">
        <is>
          <t>Inputs changes resources. Report updates automatically. Business Case adds optional costs and effort payback.</t>
        </is>
      </c>
    </row>
    <row r="5" ht="18" customHeight="1"/>
    <row r="6" ht="18" customHeight="1">
      <c r="A6" s="4" t="inlineStr">
        <is>
          <t>REDUCED DEMO / WEEK</t>
        </is>
      </c>
      <c r="C6" s="4" t="inlineStr">
        <is>
          <t>FULL PILOT / WEEK</t>
        </is>
      </c>
      <c r="F6" s="4" t="inlineStr">
        <is>
          <t>WITH RESERVE / WEEK</t>
        </is>
      </c>
    </row>
    <row r="7" ht="25" customHeight="1">
      <c r="A7" s="5" t="n">
        <f>IFERROR(IF(Plan!I20="","BLOCKED",Plan!I13),"")</f>
        <v>8</v>
      </c>
      <c r="C7" s="5" t="n">
        <f>IFERROR(IF(Plan!I20="","BLOCKED",Plan!I17),"")</f>
        <v>18</v>
      </c>
      <c r="F7" s="5" t="n">
        <f>IFERROR(IF(Plan!I20="","BLOCKED",Plan!I17+Inputs!C22),"")</f>
        <v>20</v>
      </c>
    </row>
    <row r="8" ht="20" customHeight="1"/>
    <row r="9" ht="18" customHeight="1"/>
    <row r="10" ht="18" customHeight="1">
      <c r="A10" s="6" t="str">
        <f>IFERROR(IF(Plan!I20="","Forecast blocked. Correct Inputs / Plan first.","Selected team: "&amp;Inputs!C5&amp;" developers ("&amp;Inputs!C7&amp;" experienced + "&amp;Inputs!C6&amp;" junior). Estimated delivery work: "&amp;TEXT((Plan!C20+Plan!D20)*Inputs!C24,"0")&amp;" hours, including review and tests. This is planned work, not completed work."),"")</f>
        <v>Selected team: 2 developers (1 experienced + 1 junior). Estimated delivery work: 828 hours, including review and tests. This is planned work, not completed work.</v>
      </c>
    </row>
    <row r="11" ht="18" customHeight="1"/>
    <row r="12" ht="18" customHeight="1"/>
    <row r="13" ht="24" customHeight="1">
      <c r="A13" s="7" t="inlineStr">
        <is>
          <t>FORECAST CHECKPOINTS</t>
        </is>
      </c>
    </row>
    <row r="14" ht="18" customHeight="1">
      <c r="A14" s="8" t="inlineStr">
        <is>
          <t>Checkpoint</t>
        </is>
      </c>
      <c r="C14" s="8" t="inlineStr">
        <is>
          <t>End week</t>
        </is>
      </c>
      <c r="D14" s="8" t="inlineStr">
        <is>
          <t>Finish date*</t>
        </is>
      </c>
      <c r="F14" s="8" t="inlineStr">
        <is>
          <t>Target week</t>
        </is>
      </c>
      <c r="G14" s="8" t="inlineStr">
        <is>
          <t>Variance</t>
        </is>
      </c>
      <c r="H14" s="8" t="inlineStr">
        <is>
          <t>Schedule</t>
        </is>
      </c>
    </row>
    <row r="15" ht="24" customHeight="1">
      <c r="A15" s="9" t="inlineStr">
        <is>
          <t>Review / Gate A</t>
        </is>
      </c>
      <c r="C15" s="10" t="n">
        <f>IFERROR(IF(Plan!I20="","",Plan!I9),"")</f>
        <v>2</v>
      </c>
      <c r="D15" s="48" t="str">
        <f>IFERROR(IF(OR(C15="",Inputs!C19=""),"",Inputs!C19+ROUNDUP(C15*Inputs!C25,0)-1),"")</f>
      </c>
      <c r="F15" s="12" t="inlineStr">
        <is>
          <t>-</t>
        </is>
      </c>
      <c r="G15" s="49" t="inlineStr">
        <is>
          <t>-</t>
        </is>
      </c>
      <c r="H15" s="14" t="inlineStr">
        <is>
          <t>Forecast</t>
        </is>
      </c>
    </row>
    <row r="16" ht="24" customHeight="1">
      <c r="A16" s="9" t="inlineStr">
        <is>
          <t>Shared rules / Gate B</t>
        </is>
      </c>
      <c r="C16" s="10" t="n">
        <f>IFERROR(IF(Plan!I20="","",Plan!I11),"")</f>
        <v>5</v>
      </c>
      <c r="D16" s="48" t="str">
        <f>IFERROR(IF(OR(C16="",Inputs!C19=""),"",Inputs!C19+ROUNDUP(C16*Inputs!C25,0)-1),"")</f>
      </c>
      <c r="F16" s="12" t="inlineStr">
        <is>
          <t>-</t>
        </is>
      </c>
      <c r="G16" s="49" t="inlineStr">
        <is>
          <t>-</t>
        </is>
      </c>
      <c r="H16" s="14" t="inlineStr">
        <is>
          <t>Forecast</t>
        </is>
      </c>
    </row>
    <row r="17" ht="24" customHeight="1">
      <c r="A17" s="9" t="inlineStr">
        <is>
          <t>Reduced demo</t>
        </is>
      </c>
      <c r="C17" s="10" t="n">
        <f>IFERROR(IF(Plan!I20="","",Plan!I13),"")</f>
        <v>8</v>
      </c>
      <c r="D17" s="48" t="str">
        <f>IFERROR(IF(OR(C17="",Inputs!C19=""),"",Inputs!C19+ROUNDUP(C17*Inputs!C25,0)-1),"")</f>
      </c>
      <c r="F17" s="10" t="n">
        <f>IFERROR(Inputs!C20,"")</f>
        <v>8</v>
      </c>
      <c r="G17" s="50" t="n">
        <f>IFERROR(IF(C17="","",C17-F17),"")</f>
        <v>0</v>
      </c>
      <c r="H17" s="16" t="str">
        <f>IFERROR(IF(C17="","BLOCKED",IF(C17&gt;F17,"LATE","WITHIN")),"")</f>
        <v>WITHIN</v>
      </c>
    </row>
    <row r="18" ht="24" customHeight="1">
      <c r="A18" s="9" t="inlineStr">
        <is>
          <t>Full pilot / Gate C</t>
        </is>
      </c>
      <c r="C18" s="10" t="n">
        <f>IFERROR(IF(Plan!I20="","",Plan!I17),"")</f>
        <v>18</v>
      </c>
      <c r="D18" s="48" t="str">
        <f>IFERROR(IF(OR(C18="",Inputs!C19=""),"",Inputs!C19+ROUNDUP(C18*Inputs!C25,0)-1),"")</f>
      </c>
      <c r="F18" s="10" t="n">
        <f>IFERROR(Inputs!C21,"")</f>
        <v>18</v>
      </c>
      <c r="G18" s="50" t="n">
        <f>IFERROR(IF(C18="","",C18-F18),"")</f>
        <v>0</v>
      </c>
      <c r="H18" s="16" t="str">
        <f>IFERROR(IF(C18="","BLOCKED",IF(C18&gt;F18,"LATE","WITHIN")),"")</f>
        <v>WITHIN</v>
      </c>
    </row>
    <row r="19" ht="24" customHeight="1">
      <c r="A19" s="9" t="inlineStr">
        <is>
          <t>With reserve</t>
        </is>
      </c>
      <c r="C19" s="10" t="n">
        <f>IFERROR(IF(Plan!I20="","",Plan!I17+Inputs!C22),"")</f>
        <v>20</v>
      </c>
      <c r="D19" s="48" t="str">
        <f>IFERROR(IF(OR(C19="",Inputs!C19=""),"",Inputs!C19+ROUNDUP(C19*Inputs!C25,0)-1),"")</f>
      </c>
      <c r="F19" s="12" t="inlineStr">
        <is>
          <t>-</t>
        </is>
      </c>
      <c r="G19" s="49" t="inlineStr">
        <is>
          <t>-</t>
        </is>
      </c>
      <c r="H19" s="14" t="inlineStr">
        <is>
          <t>Forecast</t>
        </is>
      </c>
    </row>
    <row r="20" ht="18" customHeight="1"/>
    <row r="21" ht="24" customHeight="1">
      <c r="A21" s="7" t="inlineStr">
        <is>
          <t>SCOPE AND DECISION</t>
        </is>
      </c>
    </row>
    <row r="22" ht="18" customHeight="1">
      <c r="A22" s="17" t="inlineStr">
        <is>
          <t>Reduced demo</t>
        </is>
      </c>
      <c r="C22" s="18" t="inlineStr">
        <is>
          <t>One mapping -&gt; shared rules -&gt; first backend connection -&gt; receiver receipt. No full-reuse or completed crash-recovery claim. Remote settings remain off.</t>
        </is>
      </c>
    </row>
    <row r="23" ht="18" customHeight="1"/>
    <row r="24" ht="18" customHeight="1">
      <c r="A24" s="17" t="inlineStr">
        <is>
          <t>Full pilot</t>
        </is>
      </c>
      <c r="C24" s="18" t="inlineStr">
        <is>
          <t>Two mappings and connection methods; restart-safe buffering; authorized reporting settings; six test groups; next-platform design only. Not production approval.</t>
        </is>
      </c>
    </row>
    <row r="25" ht="18" customHeight="1"/>
    <row r="26" ht="18" customHeight="1"/>
    <row r="27" ht="18" customHeight="1">
      <c r="A27" s="17" t="inlineStr">
        <is>
          <t>Allocated hours</t>
        </is>
      </c>
      <c r="C27" s="51" t="n">
        <f>IFERROR(IF(Plan!I20="","",Plan!I17*Inputs!C31),"")</f>
        <v>1440</v>
      </c>
      <c r="F27" s="52" t="n">
        <f>IFERROR(IF(Plan!I20="","",(Plan!I17+Inputs!C22)*Inputs!C31),"")</f>
        <v>1600</v>
      </c>
    </row>
    <row r="28" ht="18" customHeight="1"/>
    <row r="29" ht="27" customHeight="1">
      <c r="A29" s="21" t="str">
        <f>IFERROR(IF(Plan!I20="","Decision: correct blocked assumptions first.","Approve recovery only: "&amp;TEXT(Plan!I9,"0.0")&amp;" elapsed weeks and "&amp;TEXT(Plan!I9*Inputs!C31,"0")&amp;" allocated hours. "&amp;IF(ISNUMBER('Business Case'!C16),"Estimated cost: "&amp;TEXT('Business Case'!C16,"#,##0.00")&amp;" "&amp;'Business Case'!C5&amp;". ","Money cap not set; enter rates/costs in Business Case. ")&amp;"Re-estimate and confirm a consuming team at Gate A before funding the build."),"")</f>
        <v>Approve recovery only: 2.0 elapsed weeks and 160 allocated hours. Money cap not set; enter rates/costs in Business Case. Re-estimate and confirm a consuming team at Gate A before funding the build.</v>
      </c>
    </row>
    <row r="30" ht="27" customHeight="1"/>
    <row r="31" ht="18" customHeight="1"/>
    <row r="32" ht="18" customHeight="1">
      <c r="A32" s="22" t="inlineStr">
        <is>
          <t>Forecast only, not approval or passed tests. *Dates stay blank until Inputs!C19 is set. Calendar weeks are approximate. Benefits remain unproven; use Business Case for explicit assumptions, not claimed savings.</t>
        </is>
      </c>
    </row>
    <row r="33" ht="18" customHeight="1"/>
    <row r="34" ht="18" customHeight="1"/>
    <row r="35" ht="23" customHeight="1">
      <c r="A35" s="17" t="inlineStr">
        <is>
          <t>Model check</t>
        </is>
      </c>
      <c r="C35" s="23" t="str">
        <f>IFERROR(IF(OR(Inputs!C32&lt;&gt;"OK",COUNT(Plan!I9:I17)&lt;&gt;9,COUNTIF(Plan!T9:T17,"BLOCKED")&gt;0),"BLOCKED - review Inputs / Plan",IF(ABS(Scenarios!F9-Plan!I17)&gt;0.000001,"ERROR - scenario mismatch","OK - formulas consistent; estimates require approval")),"")</f>
        <v>OK - formulas consistent; estimates require approval</v>
      </c>
    </row>
    <row r="36" ht="18" customHeight="1"/>
    <row r="37" ht="18" customHeight="1"/>
    <row r="38" ht="18" customHeight="1"/>
    <row r="39" ht="18" customHeight="1"/>
    <row r="40" ht="23" customHeight="1"/>
    <row r="41" ht="23" customHeight="1"/>
    <row r="42" ht="23" customHeight="1"/>
    <row r="43" ht="23" customHeight="1"/>
    <row r="44" ht="23" customHeight="1"/>
    <row r="45" ht="23" customHeight="1"/>
    <row r="46" ht="23" customHeight="1"/>
    <row r="47" ht="23"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sheetData>
  <mergeCells count="35">
    <mergeCell ref="A24:B24"/>
    <mergeCell ref="A15:B15"/>
    <mergeCell ref="D19:E19"/>
    <mergeCell ref="A6:B6"/>
    <mergeCell ref="A32:H33"/>
    <mergeCell ref="F7:H8"/>
    <mergeCell ref="A16:B16"/>
    <mergeCell ref="C24:H25"/>
    <mergeCell ref="C27:E27"/>
    <mergeCell ref="A29:H30"/>
    <mergeCell ref="F27:H27"/>
    <mergeCell ref="A10:H11"/>
    <mergeCell ref="A18:B18"/>
    <mergeCell ref="A27:B27"/>
    <mergeCell ref="D17:E17"/>
    <mergeCell ref="A3:H3"/>
    <mergeCell ref="D16:E16"/>
    <mergeCell ref="A21:H21"/>
    <mergeCell ref="C22:H23"/>
    <mergeCell ref="A14:B14"/>
    <mergeCell ref="A17:B17"/>
    <mergeCell ref="D18:E18"/>
    <mergeCell ref="A1:H2"/>
    <mergeCell ref="A22:B22"/>
    <mergeCell ref="C6:E6"/>
    <mergeCell ref="A35:B35"/>
    <mergeCell ref="A4:H4"/>
    <mergeCell ref="F6:H6"/>
    <mergeCell ref="D15:E15"/>
    <mergeCell ref="A7:B8"/>
    <mergeCell ref="A19:B19"/>
    <mergeCell ref="D14:E14"/>
    <mergeCell ref="A13:H13"/>
    <mergeCell ref="C35:H35"/>
    <mergeCell ref="C7:E8"/>
  </mergeCells>
  <conditionalFormatting sqref="H15:H19">
    <cfRule type="cellIs" priority="1" operator="equal" dxfId="0">
      <formula>"LATE"</formula>
    </cfRule>
    <cfRule type="cellIs" priority="2" operator="equal" dxfId="1">
      <formula>"BLOCKED"</formula>
    </cfRule>
  </conditionalFormatting>
  <printOptions horizontalCentered="1"/>
  <pageMargins left="0.3" right="0.3" top="0.4" bottom="0.4" header="0.5" footer="0.5"/>
  <pageSetup orientation="landscape" paperSize="9" fitToHeight="1" fitToWidth="1"/>
</worksheet>
</file>

<file path=xl/worksheets/sheet2.xml><?xml version="1.0" encoding="utf-8"?>
<worksheet xmlns="http://schemas.openxmlformats.org/spreadsheetml/2006/main">
  <sheetPr>
    <tabColor rgb="0017364D"/>
    <outlinePr summaryBelow="1" summaryRight="1"/>
    <pageSetUpPr fitToPage="1"/>
  </sheetPr>
  <dimension ref="A1:F35"/>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3" customWidth="1" min="2" max="2"/>
    <col width="16" customWidth="1" min="3" max="3"/>
    <col width="3" customWidth="1" min="4" max="4"/>
    <col width="46" customWidth="1" min="5" max="5"/>
    <col width="12" customWidth="1" min="6" max="6"/>
  </cols>
  <sheetData>
    <row r="1" ht="20" customHeight="1">
      <c r="A1" s="1" t="inlineStr">
        <is>
          <t>Change the team, not the report</t>
        </is>
      </c>
    </row>
    <row r="2" ht="20" customHeight="1"/>
    <row r="3" ht="30" customHeight="1">
      <c r="A3" s="2" t="inlineStr">
        <is>
          <t>Start here: C5 = total developers; C6 = juniors. Blue inputs change the forecast, not the selected idea.</t>
        </is>
      </c>
    </row>
    <row r="4" ht="24" customHeight="1">
      <c r="A4" s="7" t="inlineStr">
        <is>
          <t>1  TEAM</t>
        </is>
      </c>
    </row>
    <row r="5" ht="37" customHeight="1">
      <c r="A5" s="9" t="inlineStr">
        <is>
          <t>Total developers</t>
        </is>
      </c>
      <c r="C5" s="24" t="n">
        <v>2</v>
      </c>
      <c r="E5" s="2" t="inlineStr">
        <is>
          <t>Changing 2 to 3 adds one experienced developer unless the junior count also changes.</t>
        </is>
      </c>
    </row>
    <row r="6" ht="37" customHeight="1">
      <c r="A6" s="9" t="inlineStr">
        <is>
          <t>Intern / fresher count</t>
        </is>
      </c>
      <c r="C6" s="24" t="n">
        <v>1</v>
      </c>
      <c r="E6" s="2" t="inlineStr">
        <is>
          <t>Must be smaller than total developers. At least one experienced developer is required.</t>
        </is>
      </c>
    </row>
    <row r="7" ht="31" customHeight="1">
      <c r="A7" s="9" t="inlineStr">
        <is>
          <t>Experienced developer count</t>
        </is>
      </c>
      <c r="C7" s="25" t="n">
        <f>IFERROR(C5-C6,"")</f>
        <v>1</v>
      </c>
      <c r="E7" s="2" t="inlineStr">
        <is>
          <t>Total minus intern/fresher count. Assumes suitable AAOS/core skills.</t>
        </is>
      </c>
    </row>
    <row r="8" ht="31" customHeight="1">
      <c r="A8" s="18" t="inlineStr">
        <is>
          <t>Paid hours per person / week</t>
        </is>
      </c>
      <c r="C8" s="26" t="n">
        <v>40</v>
      </c>
      <c r="E8" s="2" t="inlineStr">
        <is>
          <t>Nominal time; not all time becomes accepted delivery work.</t>
        </is>
      </c>
    </row>
    <row r="9" ht="31" customHeight="1">
      <c r="A9" s="18" t="inlineStr">
        <is>
          <t>Experienced allocation</t>
        </is>
      </c>
      <c r="C9" s="27" t="n">
        <v>1</v>
      </c>
      <c r="E9" s="2" t="inlineStr">
        <is>
          <t>Share of working time assigned to this project.</t>
        </is>
      </c>
    </row>
    <row r="10" ht="31" customHeight="1">
      <c r="A10" s="18" t="inlineStr">
        <is>
          <t>Junior allocation</t>
        </is>
      </c>
      <c r="C10" s="27" t="n">
        <v>1</v>
      </c>
      <c r="E10" s="2" t="inlineStr">
        <is>
          <t>Set below 100% for part-time internship or other assignments.</t>
        </is>
      </c>
    </row>
    <row r="11" ht="24" customHeight="1">
      <c r="A11" s="7" t="inlineStr">
        <is>
          <t>2  USABLE CAPACITY</t>
        </is>
      </c>
    </row>
    <row r="12" ht="37" customHeight="1">
      <c r="A12" s="18" t="inlineStr">
        <is>
          <t>Experienced usable time before mentoring</t>
        </is>
      </c>
      <c r="C12" s="27" t="n">
        <v>0.85</v>
      </c>
      <c r="E12" s="2" t="inlineStr">
        <is>
          <t>Planning assumption: 85% of allocated time, before mentoring. Review after recovery; not a productivity benchmark.</t>
        </is>
      </c>
    </row>
    <row r="13" ht="31" customHeight="1">
      <c r="A13" s="18" t="inlineStr">
        <is>
          <t>Junior accepted work rate, after recovery</t>
        </is>
      </c>
      <c r="C13" s="27" t="n">
        <v>0.6</v>
      </c>
      <c r="E13" s="2" t="inlineStr">
        <is>
          <t>60% of allocated time; includes tests and evidence accepted after review.</t>
        </is>
      </c>
    </row>
    <row r="14" ht="37" customHeight="1">
      <c r="A14" s="18" t="inlineStr">
        <is>
          <t>Junior accepted work rate, during recovery</t>
        </is>
      </c>
      <c r="C14" s="27" t="n">
        <v>0.3</v>
      </c>
      <c r="E14" s="2" t="inlineStr">
        <is>
          <t>Lower rate applies to the whole recovery phase, not a fixed number of weeks.</t>
        </is>
      </c>
    </row>
    <row r="15" ht="37" customHeight="1">
      <c r="A15" s="18" t="inlineStr">
        <is>
          <t>Mentoring hours per allocated junior / week</t>
        </is>
      </c>
      <c r="C15" s="28" t="n">
        <v>6</v>
      </c>
      <c r="E15" s="2" t="inlineStr">
        <is>
          <t>Deducted once from the experienced pool; ordinary PR review stays inside work estimates.</t>
        </is>
      </c>
    </row>
    <row r="16" ht="37" customHeight="1">
      <c r="A16" s="18" t="inlineStr">
        <is>
          <t>Maximum experienced contributors per phase</t>
        </is>
      </c>
      <c r="C16" s="26" t="n">
        <v>2</v>
      </c>
      <c r="E16" s="2" t="inlineStr">
        <is>
          <t>Caps useful parallel work. More staff do not automatically remove sequence or review limits.</t>
        </is>
      </c>
    </row>
    <row r="17" ht="31" customHeight="1">
      <c r="A17" s="18" t="inlineStr">
        <is>
          <t>Maximum junior contributors per phase</t>
        </is>
      </c>
      <c r="C17" s="26" t="n">
        <v>2</v>
      </c>
      <c r="E17" s="2" t="inlineStr">
        <is>
          <t>Caps parallel support work. These contributor caps are proposed controls.</t>
        </is>
      </c>
    </row>
    <row r="18" ht="24" customHeight="1">
      <c r="A18" s="7" t="inlineStr">
        <is>
          <t>3  CALENDAR AND FORECAST</t>
        </is>
      </c>
    </row>
    <row r="19" ht="31" customHeight="1">
      <c r="A19" s="18" t="inlineStr">
        <is>
          <t>Planning start date</t>
        </is>
      </c>
      <c r="C19" s="53" t="n"/>
      <c r="E19" s="2" t="inlineStr">
        <is>
          <t>Leave blank until an approved start is agreed. Weeks still calculate; dates remain blank.</t>
        </is>
      </c>
    </row>
    <row r="20" ht="31" customHeight="1">
      <c r="A20" s="18" t="inlineStr">
        <is>
          <t>Desired reduced-demo week</t>
        </is>
      </c>
      <c r="C20" s="28" t="n">
        <v>8</v>
      </c>
      <c r="E20" s="2" t="inlineStr">
        <is>
          <t>A comparison target, not a formula override or promise.</t>
        </is>
      </c>
    </row>
    <row r="21" ht="31" customHeight="1">
      <c r="A21" s="18" t="inlineStr">
        <is>
          <t>Desired full-MVP week</t>
        </is>
      </c>
      <c r="C21" s="28" t="n">
        <v>18</v>
      </c>
      <c r="E21" s="2" t="inlineStr">
        <is>
          <t>A comparison target, not a formula override or promise.</t>
        </is>
      </c>
    </row>
    <row r="22" ht="31" customHeight="1">
      <c r="A22" s="18" t="inlineStr">
        <is>
          <t>Sponsor-controlled reserve (weeks)</t>
        </is>
      </c>
      <c r="C22" s="28" t="n">
        <v>2</v>
      </c>
      <c r="E22" s="2" t="inlineStr">
        <is>
          <t>Added after the base forecast. Does not buy extra features.</t>
        </is>
      </c>
    </row>
    <row r="23" ht="31" customHeight="1">
      <c r="A23" s="18" t="inlineStr">
        <is>
          <t>Schedule rounding step (weeks)</t>
        </is>
      </c>
      <c r="C23" s="28" t="n">
        <v>0.5</v>
      </c>
      <c r="E23" s="2" t="inlineStr">
        <is>
          <t>Rounds each phase upward. Use 0.5 or 1 week.</t>
        </is>
      </c>
    </row>
    <row r="24" ht="31" customHeight="1">
      <c r="A24" s="18" t="inlineStr">
        <is>
          <t>Work estimate multiplier</t>
        </is>
      </c>
      <c r="C24" s="54" t="n">
        <v>1</v>
      </c>
      <c r="E24" s="2" t="inlineStr">
        <is>
          <t>1.00 = source workload. 1.20 models 20% more work; does not change scope.</t>
        </is>
      </c>
    </row>
    <row r="25" ht="37" customHeight="1">
      <c r="A25" s="31" t="inlineStr">
        <is>
          <t>Calendar days per elapsed week</t>
        </is>
      </c>
      <c r="C25" s="32" t="n">
        <v>7</v>
      </c>
      <c r="E25" s="2" t="inlineStr">
        <is>
          <t>Calendar dates are approximate elapsed-week dates, not a holiday-aware workday schedule.</t>
        </is>
      </c>
    </row>
    <row r="26" ht="24" customHeight="1">
      <c r="A26" s="7" t="inlineStr">
        <is>
          <t>4  CALCULATED CAPACITY</t>
        </is>
      </c>
    </row>
    <row r="27" ht="31" customHeight="1">
      <c r="A27" s="18" t="inlineStr">
        <is>
          <t>Experienced pool: delivery hours / week</t>
        </is>
      </c>
      <c r="C27" s="33" t="n">
        <f>IFERROR(MAX(0,C7*C8*C9*C12-C6*C10*C15),"")</f>
        <v>28</v>
      </c>
      <c r="E27" s="2" t="inlineStr">
        <is>
          <t>Before the per-phase contributor and senior-critical caps.</t>
        </is>
      </c>
    </row>
    <row r="28" ht="31" customHeight="1">
      <c r="A28" s="18" t="inlineStr">
        <is>
          <t>Experienced: delivery hours per person</t>
        </is>
      </c>
      <c r="C28" s="33" t="n">
        <f>IFERROR(IF(C7&gt;0,C27/C7,0),"")</f>
        <v>28</v>
      </c>
      <c r="E28" s="2" t="inlineStr">
        <is>
          <t>Mentoring is shared across the experienced pool.</t>
        </is>
      </c>
    </row>
    <row r="29" ht="31" customHeight="1">
      <c r="A29" s="18" t="inlineStr">
        <is>
          <t>Junior: hours per person after recovery</t>
        </is>
      </c>
      <c r="C29" s="33" t="n">
        <f>IFERROR(C8*C10*C13,"")</f>
        <v>24</v>
      </c>
      <c r="E29" s="2" t="inlineStr">
        <is>
          <t>Used for phases P2-P9.</t>
        </is>
      </c>
    </row>
    <row r="30" ht="31" customHeight="1">
      <c r="A30" s="18" t="inlineStr">
        <is>
          <t>Junior: hours per person during recovery</t>
        </is>
      </c>
      <c r="C30" s="33" t="n">
        <f>IFERROR(C8*C10*C14,"")</f>
        <v>12</v>
      </c>
      <c r="E30" s="2" t="inlineStr">
        <is>
          <t>Used for phase P1 only.</t>
        </is>
      </c>
    </row>
    <row r="31" ht="31" customHeight="1">
      <c r="A31" s="18" t="inlineStr">
        <is>
          <t>Nominal allocated team hours / week</t>
        </is>
      </c>
      <c r="C31" s="33" t="n">
        <f>IFERROR(C8*(C7*C9+C6*C10),"")</f>
        <v>80</v>
      </c>
      <c r="E31" s="2" t="inlineStr">
        <is>
          <t>Staffed/allocated hours, not accepted work. Used for the staffing envelope.</t>
        </is>
      </c>
    </row>
    <row r="32" ht="31" customHeight="1">
      <c r="A32" s="34" t="inlineStr">
        <is>
          <t>Input validation</t>
        </is>
      </c>
      <c r="C32" s="35" t="str">
        <f>IFERROR(IF(OR(NOT(ISNUMBER(C5)),NOT(ISNUMBER(C6)),NOT(ISNUMBER(C8)),NOT(ISNUMBER(C9)),NOT(ISNUMBER(C10)),NOT(ISNUMBER(C12)),NOT(ISNUMBER(C13)),NOT(ISNUMBER(C14)),NOT(ISNUMBER(C15)),NOT(ISNUMBER(C16)),NOT(ISNUMBER(C17)),NOT(ISNUMBER(C20)),NOT(ISNUMBER(C21)),NOT(ISNUMBER(C22)),NOT(ISNUMBER(C23)),NOT(ISNUMBER(C24)),NOT(ISNUMBER(C25)),C5&lt;1,C5&lt;&gt;INT(C5),C6&lt;0,C6&lt;&gt;INT(C6),C6&gt;=C5,C8&lt;=0,C9&lt;=0,C9&gt;1,C10&lt;0,C10&gt;1,C12&lt;=0,C12&gt;1,C13&lt;0,C13&gt;1,C14&lt;0,C14&gt;1,C15&lt;0,C16&lt;1,C16&lt;&gt;INT(C16),C17&lt;0,C17&lt;&gt;INT(C17),AND(C19&lt;&gt;"",OR(NOT(ISNUMBER(C19)),C19&lt;1,C19&lt;&gt;INT(C19))),C20&lt;=0,C21&lt;C20,C22&lt;0,AND(C23&lt;&gt;0.5,C23&lt;&gt;1),C24&lt;=0,C25&lt;&gt;7,C27&lt;=0),"BLOCKED","OK"),"BLOCKED")</f>
        <v>OK</v>
      </c>
      <c r="E32" s="2" t="inlineStr">
        <is>
          <t>BLOCKED means invalid or missing capacity/estimate inputs. An unset start date does not block week forecasts.</t>
        </is>
      </c>
    </row>
    <row r="33" ht="23" customHeight="1"/>
    <row r="34" ht="23" customHeight="1">
      <c r="A34" s="22" t="inlineStr">
        <is>
          <t>No overtime, new production backend, independent security reviewer or completed AAOS SDV runtime port is assumed. Role changes alter the forecast, not the approved scope.</t>
        </is>
      </c>
    </row>
    <row r="35" ht="23" customHeight="1"/>
    <row r="36" ht="23" customHeight="1"/>
    <row r="37" ht="23" customHeight="1"/>
    <row r="38" ht="23" customHeight="1"/>
    <row r="39" ht="23" customHeight="1"/>
    <row r="40" ht="23" customHeight="1"/>
    <row r="41" ht="23" customHeight="1"/>
    <row r="42" ht="23" customHeight="1"/>
    <row r="43" ht="23" customHeight="1"/>
    <row r="44" ht="23" customHeight="1"/>
    <row r="45" ht="23" customHeight="1"/>
    <row r="46" ht="23" customHeight="1"/>
    <row r="47" ht="23"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sheetData>
  <mergeCells count="32">
    <mergeCell ref="E12:F12"/>
    <mergeCell ref="E24:F24"/>
    <mergeCell ref="E5:F5"/>
    <mergeCell ref="E23:F23"/>
    <mergeCell ref="A18:F18"/>
    <mergeCell ref="E14:F14"/>
    <mergeCell ref="A34:F35"/>
    <mergeCell ref="A26:F26"/>
    <mergeCell ref="A3:F3"/>
    <mergeCell ref="E17:F17"/>
    <mergeCell ref="E8:F8"/>
    <mergeCell ref="E20:F20"/>
    <mergeCell ref="E29:F29"/>
    <mergeCell ref="E10:F10"/>
    <mergeCell ref="E19:F19"/>
    <mergeCell ref="A1:F2"/>
    <mergeCell ref="E28:F28"/>
    <mergeCell ref="E13:F13"/>
    <mergeCell ref="A4:F4"/>
    <mergeCell ref="E9:F9"/>
    <mergeCell ref="E31:F31"/>
    <mergeCell ref="E6:F6"/>
    <mergeCell ref="E30:F30"/>
    <mergeCell ref="E15:F15"/>
    <mergeCell ref="E27:F27"/>
    <mergeCell ref="A11:F11"/>
    <mergeCell ref="E16:F16"/>
    <mergeCell ref="E32:F32"/>
    <mergeCell ref="E7:F7"/>
    <mergeCell ref="E25:F25"/>
    <mergeCell ref="E22:F22"/>
    <mergeCell ref="E21:F21"/>
  </mergeCells>
  <conditionalFormatting sqref="C32">
    <cfRule type="cellIs" priority="1" operator="equal" dxfId="1">
      <formula>"BLOCKED"</formula>
    </cfRule>
  </conditionalFormatting>
  <dataValidations count="17">
    <dataValidation sqref="C5" showDropDown="0" showInputMessage="0" showErrorMessage="1" allowBlank="0" errorTitle="Check this planning input" error="Enter a value between 1 and 20." type="whole" errorStyle="stop" operator="between">
      <formula1>1</formula1>
      <formula2>20</formula2>
    </dataValidation>
    <dataValidation sqref="C6" showDropDown="0" showInputMessage="0" showErrorMessage="1" allowBlank="0" errorTitle="Check this planning input" error="Enter a value between 0 and 20." type="whole" errorStyle="stop" operator="between">
      <formula1>0</formula1>
      <formula2>20</formula2>
    </dataValidation>
    <dataValidation sqref="C8" showDropDown="0" showInputMessage="0" showErrorMessage="1" allowBlank="0" errorTitle="Check this planning input" error="Enter a value between 0.01 and 1000." type="decimal" errorStyle="stop" operator="between">
      <formula1>0.01</formula1>
      <formula2>1000</formula2>
    </dataValidation>
    <dataValidation sqref="C9" showDropDown="0" showInputMessage="0" showErrorMessage="1" allowBlank="0" errorTitle="Check this planning input" error="Enter a value between 0 and 1." type="decimal" errorStyle="stop" operator="between">
      <formula1>0</formula1>
      <formula2>1</formula2>
    </dataValidation>
    <dataValidation sqref="C10" showDropDown="0" showInputMessage="0" showErrorMessage="1" allowBlank="0" errorTitle="Check this planning input" error="Enter a value between 0 and 1." type="decimal" errorStyle="stop" operator="between">
      <formula1>0</formula1>
      <formula2>1</formula2>
    </dataValidation>
    <dataValidation sqref="C12" showDropDown="0" showInputMessage="0" showErrorMessage="1" allowBlank="0" errorTitle="Check this planning input" error="Enter a value between 0 and 1." type="decimal" errorStyle="stop" operator="between">
      <formula1>0</formula1>
      <formula2>1</formula2>
    </dataValidation>
    <dataValidation sqref="C13" showDropDown="0" showInputMessage="0" showErrorMessage="1" allowBlank="0" errorTitle="Check this planning input" error="Enter a value between 0 and 1." type="decimal" errorStyle="stop" operator="between">
      <formula1>0</formula1>
      <formula2>1</formula2>
    </dataValidation>
    <dataValidation sqref="C14" showDropDown="0" showInputMessage="0" showErrorMessage="1" allowBlank="0" errorTitle="Check this planning input" error="Enter a value between 0 and 1." type="decimal" errorStyle="stop" operator="between">
      <formula1>0</formula1>
      <formula2>1</formula2>
    </dataValidation>
    <dataValidation sqref="C15" showDropDown="0" showInputMessage="0" showErrorMessage="1" allowBlank="0" errorTitle="Check this planning input" error="Enter a value between 0 and 1000." type="decimal" errorStyle="stop" operator="between">
      <formula1>0</formula1>
      <formula2>1000</formula2>
    </dataValidation>
    <dataValidation sqref="C16" showDropDown="0" showInputMessage="0" showErrorMessage="1" allowBlank="0" errorTitle="Check this planning input" error="Enter a value between 1 and 20." type="whole" errorStyle="stop" operator="between">
      <formula1>1</formula1>
      <formula2>20</formula2>
    </dataValidation>
    <dataValidation sqref="C17" showDropDown="0" showInputMessage="0" showErrorMessage="1" allowBlank="0" errorTitle="Check this planning input" error="Enter a value between 0 and 20." type="whole" errorStyle="stop" operator="between">
      <formula1>0</formula1>
      <formula2>20</formula2>
    </dataValidation>
    <dataValidation sqref="C20" showDropDown="0" showInputMessage="0" showErrorMessage="1" allowBlank="0" errorTitle="Check this planning input" error="Enter a value between 0.01 and 1000." type="decimal" errorStyle="stop" operator="between">
      <formula1>0.01</formula1>
      <formula2>1000</formula2>
    </dataValidation>
    <dataValidation sqref="C21" showDropDown="0" showInputMessage="0" showErrorMessage="1" allowBlank="0" errorTitle="Check this planning input" error="Enter a value between 0.01 and 1000." type="decimal" errorStyle="stop" operator="between">
      <formula1>0.01</formula1>
      <formula2>1000</formula2>
    </dataValidation>
    <dataValidation sqref="C22" showDropDown="0" showInputMessage="0" showErrorMessage="1" allowBlank="0" errorTitle="Check this planning input" error="Enter a value between 0 and 1000." type="decimal" errorStyle="stop" operator="between">
      <formula1>0</formula1>
      <formula2>1000</formula2>
    </dataValidation>
    <dataValidation sqref="C24" showDropDown="0" showInputMessage="0" showErrorMessage="1" allowBlank="0" errorTitle="Check this planning input" error="Enter a value between 0.01 and 1000." type="decimal" errorStyle="stop" operator="between">
      <formula1>0.01</formula1>
      <formula2>1000</formula2>
    </dataValidation>
    <dataValidation sqref="C19" showDropDown="0" showInputMessage="0" showErrorMessage="1" allowBlank="0" error="Enter a valid planning start date." type="date" errorStyle="stop" operator="between">
      <formula1>DATE(2020,1,1)</formula1>
      <formula2>DATE(2100,12,31)</formula2>
    </dataValidation>
    <dataValidation sqref="C23" showDropDown="0" showInputMessage="0" showErrorMessage="1" allowBlank="0" error="Use a value allowed by this field. See the note beside it." type="list" errorStyle="stop">
      <formula1>"0.5,1"</formula1>
    </dataValidation>
  </dataValidations>
  <printOptions horizontalCentered="1"/>
  <pageMargins left="0.3" right="0.3" top="0.4" bottom="0.4" header="0.5" footer="0.5"/>
  <pageSetup orientation="landscape" paperSize="9" fitToHeight="0" fitToWidth="1"/>
  <legacyDrawing xmlns:r="http://schemas.openxmlformats.org/officeDocument/2006/relationships" r:id="anysvml"/>
</worksheet>
</file>

<file path=xl/worksheets/sheet3.xml><?xml version="1.0" encoding="utf-8"?>
<worksheet xmlns="http://schemas.openxmlformats.org/spreadsheetml/2006/main">
  <sheetPr>
    <tabColor rgb="0017364D"/>
    <outlinePr summaryBelow="1" summaryRight="1"/>
    <pageSetUpPr fitToPage="1"/>
  </sheetPr>
  <dimension ref="A1:T29"/>
  <sheetViews>
    <sheetView showGridLines="0" zoomScale="9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11" customWidth="1" min="3" max="3"/>
    <col width="11" customWidth="1" min="4" max="4"/>
    <col width="10" customWidth="1" min="5" max="5"/>
    <col width="11" customWidth="1" min="6" max="6"/>
    <col width="10" customWidth="1" min="7" max="7"/>
    <col width="10" customWidth="1" min="8" max="8"/>
    <col width="10" customWidth="1" min="9" max="9"/>
    <col width="16" customWidth="1" min="10" max="10"/>
    <col width="18" customWidth="1" min="11" max="11"/>
    <col width="57"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20" customHeight="1">
      <c r="A1" s="1" t="inlineStr">
        <is>
          <t>Delivery plan | agreed scope, variable team</t>
        </is>
      </c>
    </row>
    <row r="2" ht="20" customHeight="1"/>
    <row r="3" ht="30" customHeight="1">
      <c r="A3" s="2" t="inlineStr">
        <is>
          <t>Change blue estimates only after review. Phases run in order; limited parallel work is allowed within a phase.</t>
        </is>
      </c>
    </row>
    <row r="4" ht="23" customHeight="1"/>
    <row r="5" ht="23" customHeight="1">
      <c r="A5" s="36" t="inlineStr">
        <is>
          <t>Forecast only. Pass evidence must be reviewed at the gate; a calculated finish date never means that a test passed. Expert = experienced developer. Support = work a junior can do under review.</t>
        </is>
      </c>
    </row>
    <row r="6" ht="23" customHeight="1"/>
    <row r="7" ht="23" customHeight="1"/>
    <row r="8" ht="36" customHeight="1">
      <c r="A8" s="37" t="inlineStr">
        <is>
          <t>ID</t>
        </is>
      </c>
      <c r="B8" s="38" t="inlineStr">
        <is>
          <t>Phase</t>
        </is>
      </c>
      <c r="C8" s="37" t="inlineStr">
        <is>
          <t>Expert-only
work (h)</t>
        </is>
      </c>
      <c r="D8" s="37" t="inlineStr">
        <is>
          <t>Support
work (h)</t>
        </is>
      </c>
      <c r="E8" s="37" t="inlineStr">
        <is>
          <t>Minimum
weeks</t>
        </is>
      </c>
      <c r="F8" s="37" t="inlineStr">
        <is>
          <t>Expert lead
slots</t>
        </is>
      </c>
      <c r="G8" s="37" t="inlineStr">
        <is>
          <t>Waiting
weeks</t>
        </is>
      </c>
      <c r="H8" s="37" t="inlineStr">
        <is>
          <t>Duration
weeks</t>
        </is>
      </c>
      <c r="I8" s="37" t="inlineStr">
        <is>
          <t>Finish
week</t>
        </is>
      </c>
      <c r="J8" s="37" t="inlineStr">
        <is>
          <t>Finish date</t>
        </is>
      </c>
      <c r="K8" s="37" t="inlineStr">
        <is>
          <t>Checkpoint</t>
        </is>
      </c>
      <c r="L8" s="37" t="inlineStr">
        <is>
          <t>Required evidence</t>
        </is>
      </c>
      <c r="N8" s="31" t="inlineStr">
        <is>
          <t>Junior pool h/w</t>
        </is>
      </c>
      <c r="O8" s="31" t="inlineStr">
        <is>
          <t>Expert critical h/w</t>
        </is>
      </c>
      <c r="P8" s="31" t="inlineStr">
        <is>
          <t>Expert total h/w</t>
        </is>
      </c>
      <c r="Q8" s="31" t="inlineStr">
        <is>
          <t>Combined h/w</t>
        </is>
      </c>
      <c r="R8" s="31" t="inlineStr">
        <is>
          <t>Raw duration</t>
        </is>
      </c>
      <c r="S8" s="31" t="inlineStr">
        <is>
          <t>Start offset weeks</t>
        </is>
      </c>
      <c r="T8" s="31" t="inlineStr">
        <is>
          <t>Phase input check</t>
        </is>
      </c>
    </row>
    <row r="9" ht="61" customHeight="1">
      <c r="A9" s="39" t="inlineStr">
        <is>
          <t>P1</t>
        </is>
      </c>
      <c r="B9" s="9" t="inlineStr">
        <is>
          <t>Review current AAOS prototype</t>
        </is>
      </c>
      <c r="C9" s="26" t="n">
        <v>56</v>
      </c>
      <c r="D9" s="26" t="n">
        <v>24</v>
      </c>
      <c r="E9" s="28" t="n">
        <v>2</v>
      </c>
      <c r="F9" s="26" t="n">
        <v>1</v>
      </c>
      <c r="G9" s="28" t="n">
        <v>0</v>
      </c>
      <c r="H9" s="10" t="n">
        <f>IFERROR(IF(NOT(ISNUMBER(R9)),"",ROUNDUP(R9/Inputs!$C$23,0)*Inputs!$C$23),"")</f>
        <v>2</v>
      </c>
      <c r="I9" s="10" t="n">
        <f>IFERROR(IF(OR(NOT(ISNUMBER(H9)),NOT(ISNUMBER(S9))),"",S9+H9),"")</f>
        <v>2</v>
      </c>
      <c r="J9" s="48" t="str">
        <f>IFERROR(IF(OR(I9="",Inputs!$C$19=""),"",Inputs!$C$19+ROUNDUP(I9*Inputs!$C$25,0)-1),"")</f>
      </c>
      <c r="K9" s="18" t="inlineStr">
        <is>
          <t>Gate A</t>
        </is>
      </c>
      <c r="L9" s="18" t="inlineStr">
        <is>
          <t>Reproduce build and access; identify dependencies, consumer, risks and revised estimate.</t>
        </is>
      </c>
      <c r="N9" s="10" t="n">
        <f>IFERROR(MIN(Inputs!$C$6,Inputs!$C$17)*Inputs!$C$30,"")</f>
        <v>12</v>
      </c>
      <c r="O9" s="10" t="n">
        <f>IFERROR(MIN(Inputs!$C$7,Inputs!$C$16,F9)*Inputs!$C$28,"")</f>
        <v>28</v>
      </c>
      <c r="P9" s="10" t="n">
        <f>IFERROR(MIN(Inputs!$C$7,Inputs!$C$16)*Inputs!$C$28,"")</f>
        <v>28</v>
      </c>
      <c r="Q9" s="10" t="n">
        <f>IFERROR(N9+P9,"")</f>
        <v>40</v>
      </c>
      <c r="R9" s="10" t="n">
        <f>IFERROR(IF(OR(Inputs!$C$32&lt;&gt;"OK",T9&lt;&gt;"OK"),"",MAX(E9,C9*Inputs!$C$24/O9,(C9+D9)*Inputs!$C$24/Q9)),"")</f>
        <v>2</v>
      </c>
      <c r="S9" s="10" t="n">
        <f>IFERROR(IF(OR(Inputs!$C$32&lt;&gt;"OK",T9&lt;&gt;"OK"),"",G9),"")</f>
        <v>0</v>
      </c>
      <c r="T9" s="10" t="str">
        <f>IFERROR(IF(OR(COUNT(C9:G9)&lt;&gt;5,C9&lt;0,D9&lt;0,E9&lt;0,F9&lt;1,F9&lt;&gt;INT(F9),G9&lt;0),"BLOCKED","OK"),"BLOCKED")</f>
        <v>OK</v>
      </c>
    </row>
    <row r="10" ht="61" customHeight="1">
      <c r="A10" s="39" t="inlineStr">
        <is>
          <t>P2</t>
        </is>
      </c>
      <c r="B10" s="9" t="inlineStr">
        <is>
          <t>Define common reporting rules</t>
        </is>
      </c>
      <c r="C10" s="26" t="n">
        <v>56</v>
      </c>
      <c r="D10" s="26" t="n">
        <v>48</v>
      </c>
      <c r="E10" s="28" t="n">
        <v>1</v>
      </c>
      <c r="F10" s="26" t="n">
        <v>2</v>
      </c>
      <c r="G10" s="28" t="n">
        <v>0</v>
      </c>
      <c r="H10" s="10" t="n">
        <f>IFERROR(IF(NOT(ISNUMBER(R10)),"",ROUNDUP(R10/Inputs!$C$23,0)*Inputs!$C$23),"")</f>
        <v>2</v>
      </c>
      <c r="I10" s="10" t="n">
        <f>IFERROR(IF(OR(NOT(ISNUMBER(H10)),NOT(ISNUMBER(S10))),"",S10+H10),"")</f>
        <v>4</v>
      </c>
      <c r="J10" s="48" t="str">
        <f>IFERROR(IF(OR(I10="",Inputs!$C$19=""),"",Inputs!$C$19+ROUNDUP(I10*Inputs!$C$25,0)-1),"")</f>
      </c>
      <c r="K10" s="18" t="inlineStr">
        <is>
          <t>Core foundation</t>
        </is>
      </c>
      <c r="L10" s="18" t="inlineStr">
        <is>
          <t>Agree data meanings, reporting triggers and connection boundaries; prepare repeatable inputs.</t>
        </is>
      </c>
      <c r="N10" s="10" t="n">
        <f>IFERROR(MIN(Inputs!$C$6,Inputs!$C$17)*Inputs!$C$29,"")</f>
        <v>24</v>
      </c>
      <c r="O10" s="10" t="n">
        <f>IFERROR(MIN(Inputs!$C$7,Inputs!$C$16,F10)*Inputs!$C$28,"")</f>
        <v>28</v>
      </c>
      <c r="P10" s="10" t="n">
        <f>IFERROR(MIN(Inputs!$C$7,Inputs!$C$16)*Inputs!$C$28,"")</f>
        <v>28</v>
      </c>
      <c r="Q10" s="10" t="n">
        <f>IFERROR(N10+P10,"")</f>
        <v>52</v>
      </c>
      <c r="R10" s="10" t="n">
        <f>IFERROR(IF(OR(Inputs!$C$32&lt;&gt;"OK",T10&lt;&gt;"OK"),"",MAX(E10,C10*Inputs!$C$24/O10,(C10+D10)*Inputs!$C$24/Q10)),"")</f>
        <v>2</v>
      </c>
      <c r="S10" s="10" t="n">
        <f>IFERROR(IF(OR(Inputs!$C$32&lt;&gt;"OK",T10&lt;&gt;"OK",I9=""),"",I9+G10),"")</f>
        <v>2</v>
      </c>
      <c r="T10" s="10" t="str">
        <f>IFERROR(IF(OR(COUNT(C10:G10)&lt;&gt;5,C10&lt;0,D10&lt;0,E10&lt;0,F10&lt;1,F10&lt;&gt;INT(F10),G10&lt;0),"BLOCKED","OK"),"BLOCKED")</f>
        <v>OK</v>
      </c>
    </row>
    <row r="11" ht="61" customHeight="1">
      <c r="A11" s="39" t="inlineStr">
        <is>
          <t>P3</t>
        </is>
      </c>
      <c r="B11" s="9" t="inlineStr">
        <is>
          <t>Verify the shared rules</t>
        </is>
      </c>
      <c r="C11" s="26" t="n">
        <v>28</v>
      </c>
      <c r="D11" s="26" t="n">
        <v>24</v>
      </c>
      <c r="E11" s="28" t="n">
        <v>1</v>
      </c>
      <c r="F11" s="26" t="n">
        <v>1</v>
      </c>
      <c r="G11" s="28" t="n">
        <v>0</v>
      </c>
      <c r="H11" s="10" t="n">
        <f>IFERROR(IF(NOT(ISNUMBER(R11)),"",ROUNDUP(R11/Inputs!$C$23,0)*Inputs!$C$23),"")</f>
        <v>1</v>
      </c>
      <c r="I11" s="10" t="n">
        <f>IFERROR(IF(OR(NOT(ISNUMBER(H11)),NOT(ISNUMBER(S11))),"",S11+H11),"")</f>
        <v>5</v>
      </c>
      <c r="J11" s="48" t="str">
        <f>IFERROR(IF(OR(I11="",Inputs!$C$19=""),"",Inputs!$C$19+ROUNDUP(I11*Inputs!$C$25,0)-1),"")</f>
      </c>
      <c r="K11" s="18" t="inlineStr">
        <is>
          <t>Gate B</t>
        </is>
      </c>
      <c r="L11" s="18" t="inlineStr">
        <is>
          <t>S1-S2 pass; the shared rules build without Android or backend-specific code.</t>
        </is>
      </c>
      <c r="N11" s="10" t="n">
        <f>IFERROR(MIN(Inputs!$C$6,Inputs!$C$17)*Inputs!$C$29,"")</f>
        <v>24</v>
      </c>
      <c r="O11" s="10" t="n">
        <f>IFERROR(MIN(Inputs!$C$7,Inputs!$C$16,F11)*Inputs!$C$28,"")</f>
        <v>28</v>
      </c>
      <c r="P11" s="10" t="n">
        <f>IFERROR(MIN(Inputs!$C$7,Inputs!$C$16)*Inputs!$C$28,"")</f>
        <v>28</v>
      </c>
      <c r="Q11" s="10" t="n">
        <f>IFERROR(N11+P11,"")</f>
        <v>52</v>
      </c>
      <c r="R11" s="10" t="n">
        <f>IFERROR(IF(OR(Inputs!$C$32&lt;&gt;"OK",T11&lt;&gt;"OK"),"",MAX(E11,C11*Inputs!$C$24/O11,(C11+D11)*Inputs!$C$24/Q11)),"")</f>
        <v>1</v>
      </c>
      <c r="S11" s="10" t="n">
        <f>IFERROR(IF(OR(Inputs!$C$32&lt;&gt;"OK",T11&lt;&gt;"OK",I10=""),"",I10+G11),"")</f>
        <v>4</v>
      </c>
      <c r="T11" s="10" t="str">
        <f>IFERROR(IF(OR(COUNT(C11:G11)&lt;&gt;5,C11&lt;0,D11&lt;0,E11&lt;0,F11&lt;1,F11&lt;&gt;INT(F11),G11&lt;0),"BLOCKED","OK"),"BLOCKED")</f>
        <v>OK</v>
      </c>
    </row>
    <row r="12" ht="61" customHeight="1">
      <c r="A12" s="39" t="inlineStr">
        <is>
          <t>P4</t>
        </is>
      </c>
      <c r="B12" s="9" t="inlineStr">
        <is>
          <t>Connect AAOS vehicle data</t>
        </is>
      </c>
      <c r="C12" s="26" t="n">
        <v>28</v>
      </c>
      <c r="D12" s="26" t="n">
        <v>24</v>
      </c>
      <c r="E12" s="28" t="n">
        <v>1</v>
      </c>
      <c r="F12" s="26" t="n">
        <v>1</v>
      </c>
      <c r="G12" s="28" t="n">
        <v>0</v>
      </c>
      <c r="H12" s="10" t="n">
        <f>IFERROR(IF(NOT(ISNUMBER(R12)),"",ROUNDUP(R12/Inputs!$C$23,0)*Inputs!$C$23),"")</f>
        <v>1</v>
      </c>
      <c r="I12" s="10" t="n">
        <f>IFERROR(IF(OR(NOT(ISNUMBER(H12)),NOT(ISNUMBER(S12))),"",S12+H12),"")</f>
        <v>6</v>
      </c>
      <c r="J12" s="48" t="str">
        <f>IFERROR(IF(OR(I12="",Inputs!$C$19=""),"",Inputs!$C$19+ROUNDUP(I12*Inputs!$C$25,0)-1),"")</f>
      </c>
      <c r="K12" s="18" t="inlineStr">
        <is>
          <t>AAOS integration</t>
        </is>
      </c>
      <c r="L12" s="18" t="inlineStr">
        <is>
          <t>Vehicle reads, lifecycle, permissions and mapping A use the same shared rules.</t>
        </is>
      </c>
      <c r="N12" s="10" t="n">
        <f>IFERROR(MIN(Inputs!$C$6,Inputs!$C$17)*Inputs!$C$29,"")</f>
        <v>24</v>
      </c>
      <c r="O12" s="10" t="n">
        <f>IFERROR(MIN(Inputs!$C$7,Inputs!$C$16,F12)*Inputs!$C$28,"")</f>
        <v>28</v>
      </c>
      <c r="P12" s="10" t="n">
        <f>IFERROR(MIN(Inputs!$C$7,Inputs!$C$16)*Inputs!$C$28,"")</f>
        <v>28</v>
      </c>
      <c r="Q12" s="10" t="n">
        <f>IFERROR(N12+P12,"")</f>
        <v>52</v>
      </c>
      <c r="R12" s="10" t="n">
        <f>IFERROR(IF(OR(Inputs!$C$32&lt;&gt;"OK",T12&lt;&gt;"OK"),"",MAX(E12,C12*Inputs!$C$24/O12,(C12+D12)*Inputs!$C$24/Q12)),"")</f>
        <v>1</v>
      </c>
      <c r="S12" s="10" t="n">
        <f>IFERROR(IF(OR(Inputs!$C$32&lt;&gt;"OK",T12&lt;&gt;"OK",I11=""),"",I11+G12),"")</f>
        <v>5</v>
      </c>
      <c r="T12" s="10" t="str">
        <f>IFERROR(IF(OR(COUNT(C12:G12)&lt;&gt;5,C12&lt;0,D12&lt;0,E12&lt;0,F12&lt;1,F12&lt;&gt;INT(F12),G12&lt;0),"BLOCKED","OK"),"BLOCKED")</f>
        <v>OK</v>
      </c>
    </row>
    <row r="13" ht="61" customHeight="1">
      <c r="A13" s="39" t="inlineStr">
        <is>
          <t>P5</t>
        </is>
      </c>
      <c r="B13" s="9" t="inlineStr">
        <is>
          <t>Demo first backend path</t>
        </is>
      </c>
      <c r="C13" s="26" t="n">
        <v>56</v>
      </c>
      <c r="D13" s="26" t="n">
        <v>36</v>
      </c>
      <c r="E13" s="28" t="n">
        <v>1</v>
      </c>
      <c r="F13" s="26" t="n">
        <v>2</v>
      </c>
      <c r="G13" s="28" t="n">
        <v>0</v>
      </c>
      <c r="H13" s="10" t="n">
        <f>IFERROR(IF(NOT(ISNUMBER(R13)),"",ROUNDUP(R13/Inputs!$C$23,0)*Inputs!$C$23),"")</f>
        <v>2</v>
      </c>
      <c r="I13" s="10" t="n">
        <f>IFERROR(IF(OR(NOT(ISNUMBER(H13)),NOT(ISNUMBER(S13))),"",S13+H13),"")</f>
        <v>8</v>
      </c>
      <c r="J13" s="48" t="str">
        <f>IFERROR(IF(OR(I13="",Inputs!$C$19=""),"",Inputs!$C$19+ROUNDUP(I13*Inputs!$C$25,0)-1),"")</f>
      </c>
      <c r="K13" s="18" t="inlineStr">
        <is>
          <t>Reduced demo</t>
        </is>
      </c>
      <c r="L13" s="18" t="inlineStr">
        <is>
          <t>Mapping A -&gt; shared rules -&gt; MQTT/TLS -&gt; receiver receipt. Remote settings stay off.</t>
        </is>
      </c>
      <c r="N13" s="10" t="n">
        <f>IFERROR(MIN(Inputs!$C$6,Inputs!$C$17)*Inputs!$C$29,"")</f>
        <v>24</v>
      </c>
      <c r="O13" s="10" t="n">
        <f>IFERROR(MIN(Inputs!$C$7,Inputs!$C$16,F13)*Inputs!$C$28,"")</f>
        <v>28</v>
      </c>
      <c r="P13" s="10" t="n">
        <f>IFERROR(MIN(Inputs!$C$7,Inputs!$C$16)*Inputs!$C$28,"")</f>
        <v>28</v>
      </c>
      <c r="Q13" s="10" t="n">
        <f>IFERROR(N13+P13,"")</f>
        <v>52</v>
      </c>
      <c r="R13" s="10" t="n">
        <f>IFERROR(IF(OR(Inputs!$C$32&lt;&gt;"OK",T13&lt;&gt;"OK"),"",MAX(E13,C13*Inputs!$C$24/O13,(C13+D13)*Inputs!$C$24/Q13)),"")</f>
        <v>2</v>
      </c>
      <c r="S13" s="10" t="n">
        <f>IFERROR(IF(OR(Inputs!$C$32&lt;&gt;"OK",T13&lt;&gt;"OK",I12=""),"",I12+G13),"")</f>
        <v>6</v>
      </c>
      <c r="T13" s="10" t="str">
        <f>IFERROR(IF(OR(COUNT(C13:G13)&lt;&gt;5,C13&lt;0,D13&lt;0,E13&lt;0,F13&lt;1,F13&lt;&gt;INT(F13),G13&lt;0),"BLOCKED","OK"),"BLOCKED")</f>
        <v>OK</v>
      </c>
    </row>
    <row r="14" ht="61" customHeight="1">
      <c r="A14" s="39" t="inlineStr">
        <is>
          <t>P6</t>
        </is>
      </c>
      <c r="B14" s="9" t="inlineStr">
        <is>
          <t>Test replacement connection</t>
        </is>
      </c>
      <c r="C14" s="26" t="n">
        <v>56</v>
      </c>
      <c r="D14" s="26" t="n">
        <v>40</v>
      </c>
      <c r="E14" s="28" t="n">
        <v>1</v>
      </c>
      <c r="F14" s="26" t="n">
        <v>2</v>
      </c>
      <c r="G14" s="28" t="n">
        <v>0</v>
      </c>
      <c r="H14" s="10" t="n">
        <f>IFERROR(IF(NOT(ISNUMBER(R14)),"",ROUNDUP(R14/Inputs!$C$23,0)*Inputs!$C$23),"")</f>
        <v>2</v>
      </c>
      <c r="I14" s="10" t="n">
        <f>IFERROR(IF(OR(NOT(ISNUMBER(H14)),NOT(ISNUMBER(S14))),"",S14+H14),"")</f>
        <v>10</v>
      </c>
      <c r="J14" s="48" t="str">
        <f>IFERROR(IF(OR(I14="",Inputs!$C$19=""),"",Inputs!$C$19+ROUNDUP(I14*Inputs!$C$25,0)-1),"")</f>
      </c>
      <c r="K14" s="18" t="inlineStr">
        <is>
          <t>S3</t>
        </is>
      </c>
      <c r="L14" s="18" t="inlineStr">
        <is>
          <t>S3: MQTT/HTTPS keep report meaning, IDs, decisions and equivalent receiver confirmation.</t>
        </is>
      </c>
      <c r="N14" s="10" t="n">
        <f>IFERROR(MIN(Inputs!$C$6,Inputs!$C$17)*Inputs!$C$29,"")</f>
        <v>24</v>
      </c>
      <c r="O14" s="10" t="n">
        <f>IFERROR(MIN(Inputs!$C$7,Inputs!$C$16,F14)*Inputs!$C$28,"")</f>
        <v>28</v>
      </c>
      <c r="P14" s="10" t="n">
        <f>IFERROR(MIN(Inputs!$C$7,Inputs!$C$16)*Inputs!$C$28,"")</f>
        <v>28</v>
      </c>
      <c r="Q14" s="10" t="n">
        <f>IFERROR(N14+P14,"")</f>
        <v>52</v>
      </c>
      <c r="R14" s="10" t="n">
        <f>IFERROR(IF(OR(Inputs!$C$32&lt;&gt;"OK",T14&lt;&gt;"OK"),"",MAX(E14,C14*Inputs!$C$24/O14,(C14+D14)*Inputs!$C$24/Q14)),"")</f>
        <v>2</v>
      </c>
      <c r="S14" s="10" t="n">
        <f>IFERROR(IF(OR(Inputs!$C$32&lt;&gt;"OK",T14&lt;&gt;"OK",I13=""),"",I13+G14),"")</f>
        <v>8</v>
      </c>
      <c r="T14" s="10" t="str">
        <f>IFERROR(IF(OR(COUNT(C14:G14)&lt;&gt;5,C14&lt;0,D14&lt;0,E14&lt;0,F14&lt;1,F14&lt;&gt;INT(F14),G14&lt;0),"BLOCKED","OK"),"BLOCKED")</f>
        <v>OK</v>
      </c>
    </row>
    <row r="15" ht="61" customHeight="1">
      <c r="A15" s="39" t="inlineStr">
        <is>
          <t>P7</t>
        </is>
      </c>
      <c r="B15" s="9" t="inlineStr">
        <is>
          <t>Test outage and restart</t>
        </is>
      </c>
      <c r="C15" s="26" t="n">
        <v>84</v>
      </c>
      <c r="D15" s="26" t="n">
        <v>56</v>
      </c>
      <c r="E15" s="28" t="n">
        <v>2</v>
      </c>
      <c r="F15" s="26" t="n">
        <v>2</v>
      </c>
      <c r="G15" s="28" t="n">
        <v>0</v>
      </c>
      <c r="H15" s="10" t="n">
        <f>IFERROR(IF(NOT(ISNUMBER(R15)),"",ROUNDUP(R15/Inputs!$C$23,0)*Inputs!$C$23),"")</f>
        <v>3</v>
      </c>
      <c r="I15" s="10" t="n">
        <f>IFERROR(IF(OR(NOT(ISNUMBER(H15)),NOT(ISNUMBER(S15))),"",S15+H15),"")</f>
        <v>13</v>
      </c>
      <c r="J15" s="48" t="str">
        <f>IFERROR(IF(OR(I15="",Inputs!$C$19=""),"",Inputs!$C$19+ROUNDUP(I15*Inputs!$C$25,0)-1),"")</f>
      </c>
      <c r="K15" s="18" t="inlineStr">
        <is>
          <t>S4</t>
        </is>
      </c>
      <c r="L15" s="18" t="inlineStr">
        <is>
          <t>S4: bounded restart-safe queue, retries, expiry and visible losses/duplicates.</t>
        </is>
      </c>
      <c r="N15" s="10" t="n">
        <f>IFERROR(MIN(Inputs!$C$6,Inputs!$C$17)*Inputs!$C$29,"")</f>
        <v>24</v>
      </c>
      <c r="O15" s="10" t="n">
        <f>IFERROR(MIN(Inputs!$C$7,Inputs!$C$16,F15)*Inputs!$C$28,"")</f>
        <v>28</v>
      </c>
      <c r="P15" s="10" t="n">
        <f>IFERROR(MIN(Inputs!$C$7,Inputs!$C$16)*Inputs!$C$28,"")</f>
        <v>28</v>
      </c>
      <c r="Q15" s="10" t="n">
        <f>IFERROR(N15+P15,"")</f>
        <v>52</v>
      </c>
      <c r="R15" s="10" t="n">
        <f>IFERROR(IF(OR(Inputs!$C$32&lt;&gt;"OK",T15&lt;&gt;"OK"),"",MAX(E15,C15*Inputs!$C$24/O15,(C15+D15)*Inputs!$C$24/Q15)),"")</f>
        <v>3</v>
      </c>
      <c r="S15" s="10" t="n">
        <f>IFERROR(IF(OR(Inputs!$C$32&lt;&gt;"OK",T15&lt;&gt;"OK",I14=""),"",I14+G15),"")</f>
        <v>10</v>
      </c>
      <c r="T15" s="10" t="str">
        <f>IFERROR(IF(OR(COUNT(C15:G15)&lt;&gt;5,C15&lt;0,D15&lt;0,E15&lt;0,F15&lt;1,F15&lt;&gt;INT(F15),G15&lt;0),"BLOCKED","OK"),"BLOCKED")</f>
        <v>OK</v>
      </c>
    </row>
    <row r="16" ht="61" customHeight="1">
      <c r="A16" s="39" t="inlineStr">
        <is>
          <t>P8</t>
        </is>
      </c>
      <c r="B16" s="9" t="inlineStr">
        <is>
          <t>Protect reporting settings</t>
        </is>
      </c>
      <c r="C16" s="26" t="n">
        <v>48</v>
      </c>
      <c r="D16" s="26" t="n">
        <v>30</v>
      </c>
      <c r="E16" s="28" t="n">
        <v>1</v>
      </c>
      <c r="F16" s="26" t="n">
        <v>1</v>
      </c>
      <c r="G16" s="28" t="n">
        <v>0</v>
      </c>
      <c r="H16" s="10" t="n">
        <f>IFERROR(IF(NOT(ISNUMBER(R16)),"",ROUNDUP(R16/Inputs!$C$23,0)*Inputs!$C$23),"")</f>
        <v>2</v>
      </c>
      <c r="I16" s="10" t="n">
        <f>IFERROR(IF(OR(NOT(ISNUMBER(H16)),NOT(ISNUMBER(S16))),"",S16+H16),"")</f>
        <v>15</v>
      </c>
      <c r="J16" s="48" t="str">
        <f>IFERROR(IF(OR(I16="",Inputs!$C$19=""),"",Inputs!$C$19+ROUNDUP(I16*Inputs!$C$25,0)-1),"")</f>
      </c>
      <c r="K16" s="18" t="inlineStr">
        <is>
          <t>S5</t>
        </is>
      </c>
      <c r="L16" s="18" t="inlineStr">
        <is>
          <t>S5: only authorized reporting changes; reject bad/replayed input and vehicle-control requests.</t>
        </is>
      </c>
      <c r="N16" s="10" t="n">
        <f>IFERROR(MIN(Inputs!$C$6,Inputs!$C$17)*Inputs!$C$29,"")</f>
        <v>24</v>
      </c>
      <c r="O16" s="10" t="n">
        <f>IFERROR(MIN(Inputs!$C$7,Inputs!$C$16,F16)*Inputs!$C$28,"")</f>
        <v>28</v>
      </c>
      <c r="P16" s="10" t="n">
        <f>IFERROR(MIN(Inputs!$C$7,Inputs!$C$16)*Inputs!$C$28,"")</f>
        <v>28</v>
      </c>
      <c r="Q16" s="10" t="n">
        <f>IFERROR(N16+P16,"")</f>
        <v>52</v>
      </c>
      <c r="R16" s="10" t="n">
        <f>IFERROR(IF(OR(Inputs!$C$32&lt;&gt;"OK",T16&lt;&gt;"OK"),"",MAX(E16,C16*Inputs!$C$24/O16,(C16+D16)*Inputs!$C$24/Q16)),"")</f>
        <v>1.7142857142857142</v>
      </c>
      <c r="S16" s="10" t="n">
        <f>IFERROR(IF(OR(Inputs!$C$32&lt;&gt;"OK",T16&lt;&gt;"OK",I15=""),"",I15+G16),"")</f>
        <v>13</v>
      </c>
      <c r="T16" s="10" t="str">
        <f>IFERROR(IF(OR(COUNT(C16:G16)&lt;&gt;5,C16&lt;0,D16&lt;0,E16&lt;0,F16&lt;1,F16&lt;&gt;INT(F16),G16&lt;0),"BLOCKED","OK"),"BLOCKED")</f>
        <v>OK</v>
      </c>
    </row>
    <row r="17" ht="61" customHeight="1">
      <c r="A17" s="39" t="inlineStr">
        <is>
          <t>P9</t>
        </is>
      </c>
      <c r="B17" s="9" t="inlineStr">
        <is>
          <t>Validate reuse and hand over</t>
        </is>
      </c>
      <c r="C17" s="26" t="n">
        <v>64</v>
      </c>
      <c r="D17" s="26" t="n">
        <v>70</v>
      </c>
      <c r="E17" s="28" t="n">
        <v>2</v>
      </c>
      <c r="F17" s="26" t="n">
        <v>2</v>
      </c>
      <c r="G17" s="28" t="n">
        <v>0</v>
      </c>
      <c r="H17" s="10" t="n">
        <f>IFERROR(IF(NOT(ISNUMBER(R17)),"",ROUNDUP(R17/Inputs!$C$23,0)*Inputs!$C$23),"")</f>
        <v>3</v>
      </c>
      <c r="I17" s="10" t="n">
        <f>IFERROR(IF(OR(NOT(ISNUMBER(H17)),NOT(ISNUMBER(S17))),"",S17+H17),"")</f>
        <v>18</v>
      </c>
      <c r="J17" s="48" t="str">
        <f>IFERROR(IF(OR(I17="",Inputs!$C$19=""),"",Inputs!$C$19+ROUNDUP(I17*Inputs!$C$25,0)-1),"")</f>
      </c>
      <c r="K17" s="18" t="inlineStr">
        <is>
          <t>Gate C / D-Design</t>
        </is>
      </c>
      <c r="L17" s="18" t="inlineStr">
        <is>
          <t>S1-S6 across A/B and both paths; fixed baseline, runbook and substantiated next-platform design.</t>
        </is>
      </c>
      <c r="N17" s="10" t="n">
        <f>IFERROR(MIN(Inputs!$C$6,Inputs!$C$17)*Inputs!$C$29,"")</f>
        <v>24</v>
      </c>
      <c r="O17" s="10" t="n">
        <f>IFERROR(MIN(Inputs!$C$7,Inputs!$C$16,F17)*Inputs!$C$28,"")</f>
        <v>28</v>
      </c>
      <c r="P17" s="10" t="n">
        <f>IFERROR(MIN(Inputs!$C$7,Inputs!$C$16)*Inputs!$C$28,"")</f>
        <v>28</v>
      </c>
      <c r="Q17" s="10" t="n">
        <f>IFERROR(N17+P17,"")</f>
        <v>52</v>
      </c>
      <c r="R17" s="10" t="n">
        <f>IFERROR(IF(OR(Inputs!$C$32&lt;&gt;"OK",T17&lt;&gt;"OK"),"",MAX(E17,C17*Inputs!$C$24/O17,(C17+D17)*Inputs!$C$24/Q17)),"")</f>
        <v>2.576923076923077</v>
      </c>
      <c r="S17" s="10" t="n">
        <f>IFERROR(IF(OR(Inputs!$C$32&lt;&gt;"OK",T17&lt;&gt;"OK",I16=""),"",I16+G17),"")</f>
        <v>15</v>
      </c>
      <c r="T17" s="10" t="str">
        <f>IFERROR(IF(OR(COUNT(C17:G17)&lt;&gt;5,C17&lt;0,D17&lt;0,E17&lt;0,F17&lt;1,F17&lt;&gt;INT(F17),G17&lt;0),"BLOCKED","OK"),"BLOCKED")</f>
        <v>OK</v>
      </c>
    </row>
    <row r="18" ht="23" customHeight="1"/>
    <row r="19" ht="23" customHeight="1"/>
    <row r="20" ht="23" customHeight="1">
      <c r="B20" s="9" t="inlineStr">
        <is>
          <t>BASE TOTAL</t>
        </is>
      </c>
      <c r="C20" s="40" t="n">
        <f>IFERROR(SUM(C9:C17),"")</f>
        <v>476</v>
      </c>
      <c r="D20" s="40" t="n">
        <f>IFERROR(SUM(D9:D17),"")</f>
        <v>352</v>
      </c>
      <c r="G20" s="40" t="n">
        <f>IFERROR(SUM(G9:G17),"")</f>
        <v>0</v>
      </c>
      <c r="H20" s="40" t="n">
        <f>IFERROR(SUM(H9:H17),"")</f>
        <v>18</v>
      </c>
      <c r="I20" s="40" t="n">
        <f>IFERROR(IF(OR(Inputs!C32&lt;&gt;"OK",COUNT(I9:I17)&lt;&gt;9),"",I17),"")</f>
        <v>18</v>
      </c>
      <c r="J20" s="55" t="str">
        <f>IFERROR(IF(OR(I20="",Inputs!$C$19=""),"",Inputs!$C$19+ROUNDUP(I20*Inputs!$C$25,0)-1),"")</f>
      </c>
    </row>
    <row r="21" ht="23" customHeight="1"/>
    <row r="22" ht="23" customHeight="1">
      <c r="A22" s="42" t="inlineStr">
        <is>
          <t>Work is not the same as staffed time. Default estimates total 828 accepted-work hours; nominal staffing includes mentoring, learning, coordination and capacity that cannot always be used on the critical path.</t>
        </is>
      </c>
    </row>
    <row r="23" ht="23" customHeight="1"/>
    <row r="24" ht="23" customHeight="1"/>
    <row r="25" ht="23" customHeight="1">
      <c r="A25" s="18" t="inlineStr">
        <is>
          <t>Phase duration = round up the largest of: minimum weeks, expert-only work / expert lead capacity, or all work / combined capacity. Waits are then added. Expert capacity can cover support work without being counted twice.</t>
        </is>
      </c>
    </row>
    <row r="26" ht="23" customHeight="1"/>
    <row r="27" ht="23" customHeight="1"/>
    <row r="28" ht="23" customHeight="1">
      <c r="A28" s="2" t="inlineStr">
        <is>
          <t>Forecast is not a test result. The target design is separate from an actual AAOS SDV runtime port. Production use and independent assurance are not included.</t>
        </is>
      </c>
    </row>
    <row r="29" ht="23" customHeight="1"/>
    <row r="30" ht="23" customHeight="1"/>
    <row r="31" ht="23" customHeight="1"/>
    <row r="32" ht="23" customHeight="1"/>
    <row r="33" ht="23" customHeight="1"/>
    <row r="34" ht="23" customHeight="1"/>
    <row r="35" ht="23" customHeight="1"/>
    <row r="36" ht="23" customHeight="1"/>
    <row r="37" ht="23" customHeight="1"/>
    <row r="38" ht="23" customHeight="1"/>
    <row r="39" ht="23" customHeight="1"/>
    <row r="40" ht="23" customHeight="1"/>
    <row r="41" ht="23" customHeight="1"/>
    <row r="42" ht="23" customHeight="1"/>
    <row r="43" ht="23" customHeight="1"/>
    <row r="44" ht="23" customHeight="1"/>
    <row r="45" ht="23" customHeight="1"/>
    <row r="46" ht="23" customHeight="1"/>
    <row r="47" ht="23"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sheetData>
  <autoFilter ref="A8:L17"/>
  <mergeCells count="6">
    <mergeCell ref="A28:L29"/>
    <mergeCell ref="A1:L2"/>
    <mergeCell ref="A5:L6"/>
    <mergeCell ref="A22:L23"/>
    <mergeCell ref="A3:L3"/>
    <mergeCell ref="A25:L26"/>
  </mergeCells>
  <dataValidations count="45">
    <dataValidation sqref="C9" showDropDown="0" showInputMessage="0" showErrorMessage="1" allowBlank="0" errorTitle="Check this planning input" error="Enter a value between 0 and 10000." type="decimal" errorStyle="stop" operator="between">
      <formula1>0</formula1>
      <formula2>10000</formula2>
    </dataValidation>
    <dataValidation sqref="D9" showDropDown="0" showInputMessage="0" showErrorMessage="1" allowBlank="0" errorTitle="Check this planning input" error="Enter a value between 0 and 10000." type="decimal" errorStyle="stop" operator="between">
      <formula1>0</formula1>
      <formula2>10000</formula2>
    </dataValidation>
    <dataValidation sqref="E9" showDropDown="0" showInputMessage="0" showErrorMessage="1" allowBlank="0" errorTitle="Check this planning input" error="Enter a value between 0 and 10000." type="decimal" errorStyle="stop" operator="between">
      <formula1>0</formula1>
      <formula2>10000</formula2>
    </dataValidation>
    <dataValidation sqref="G9" showDropDown="0" showInputMessage="0" showErrorMessage="1" allowBlank="0" errorTitle="Check this planning input" error="Enter a value between 0 and 10000." type="decimal" errorStyle="stop" operator="between">
      <formula1>0</formula1>
      <formula2>10000</formula2>
    </dataValidation>
    <dataValidation sqref="F9" showDropDown="0" showInputMessage="0" showErrorMessage="1" allowBlank="0" errorTitle="Check this planning input" error="Enter a value between 1 and 20." type="whole" errorStyle="stop" operator="between">
      <formula1>1</formula1>
      <formula2>20</formula2>
    </dataValidation>
    <dataValidation sqref="C10" showDropDown="0" showInputMessage="0" showErrorMessage="1" allowBlank="0" errorTitle="Check this planning input" error="Enter a value between 0 and 10000." type="decimal" errorStyle="stop" operator="between">
      <formula1>0</formula1>
      <formula2>10000</formula2>
    </dataValidation>
    <dataValidation sqref="D10" showDropDown="0" showInputMessage="0" showErrorMessage="1" allowBlank="0" errorTitle="Check this planning input" error="Enter a value between 0 and 10000." type="decimal" errorStyle="stop" operator="between">
      <formula1>0</formula1>
      <formula2>10000</formula2>
    </dataValidation>
    <dataValidation sqref="E10" showDropDown="0" showInputMessage="0" showErrorMessage="1" allowBlank="0" errorTitle="Check this planning input" error="Enter a value between 0 and 10000." type="decimal" errorStyle="stop" operator="between">
      <formula1>0</formula1>
      <formula2>10000</formula2>
    </dataValidation>
    <dataValidation sqref="G10" showDropDown="0" showInputMessage="0" showErrorMessage="1" allowBlank="0" errorTitle="Check this planning input" error="Enter a value between 0 and 10000." type="decimal" errorStyle="stop" operator="between">
      <formula1>0</formula1>
      <formula2>10000</formula2>
    </dataValidation>
    <dataValidation sqref="F10" showDropDown="0" showInputMessage="0" showErrorMessage="1" allowBlank="0" errorTitle="Check this planning input" error="Enter a value between 1 and 20." type="whole" errorStyle="stop" operator="between">
      <formula1>1</formula1>
      <formula2>20</formula2>
    </dataValidation>
    <dataValidation sqref="C11" showDropDown="0" showInputMessage="0" showErrorMessage="1" allowBlank="0" errorTitle="Check this planning input" error="Enter a value between 0 and 10000." type="decimal" errorStyle="stop" operator="between">
      <formula1>0</formula1>
      <formula2>10000</formula2>
    </dataValidation>
    <dataValidation sqref="D11" showDropDown="0" showInputMessage="0" showErrorMessage="1" allowBlank="0" errorTitle="Check this planning input" error="Enter a value between 0 and 10000." type="decimal" errorStyle="stop" operator="between">
      <formula1>0</formula1>
      <formula2>10000</formula2>
    </dataValidation>
    <dataValidation sqref="E11" showDropDown="0" showInputMessage="0" showErrorMessage="1" allowBlank="0" errorTitle="Check this planning input" error="Enter a value between 0 and 10000." type="decimal" errorStyle="stop" operator="between">
      <formula1>0</formula1>
      <formula2>10000</formula2>
    </dataValidation>
    <dataValidation sqref="G11" showDropDown="0" showInputMessage="0" showErrorMessage="1" allowBlank="0" errorTitle="Check this planning input" error="Enter a value between 0 and 10000." type="decimal" errorStyle="stop" operator="between">
      <formula1>0</formula1>
      <formula2>10000</formula2>
    </dataValidation>
    <dataValidation sqref="F11" showDropDown="0" showInputMessage="0" showErrorMessage="1" allowBlank="0" errorTitle="Check this planning input" error="Enter a value between 1 and 20." type="whole" errorStyle="stop" operator="between">
      <formula1>1</formula1>
      <formula2>20</formula2>
    </dataValidation>
    <dataValidation sqref="C12" showDropDown="0" showInputMessage="0" showErrorMessage="1" allowBlank="0" errorTitle="Check this planning input" error="Enter a value between 0 and 10000." type="decimal" errorStyle="stop" operator="between">
      <formula1>0</formula1>
      <formula2>10000</formula2>
    </dataValidation>
    <dataValidation sqref="D12" showDropDown="0" showInputMessage="0" showErrorMessage="1" allowBlank="0" errorTitle="Check this planning input" error="Enter a value between 0 and 10000." type="decimal" errorStyle="stop" operator="between">
      <formula1>0</formula1>
      <formula2>10000</formula2>
    </dataValidation>
    <dataValidation sqref="E12" showDropDown="0" showInputMessage="0" showErrorMessage="1" allowBlank="0" errorTitle="Check this planning input" error="Enter a value between 0 and 10000." type="decimal" errorStyle="stop" operator="between">
      <formula1>0</formula1>
      <formula2>10000</formula2>
    </dataValidation>
    <dataValidation sqref="G12" showDropDown="0" showInputMessage="0" showErrorMessage="1" allowBlank="0" errorTitle="Check this planning input" error="Enter a value between 0 and 10000." type="decimal" errorStyle="stop" operator="between">
      <formula1>0</formula1>
      <formula2>10000</formula2>
    </dataValidation>
    <dataValidation sqref="F12" showDropDown="0" showInputMessage="0" showErrorMessage="1" allowBlank="0" errorTitle="Check this planning input" error="Enter a value between 1 and 20." type="whole" errorStyle="stop" operator="between">
      <formula1>1</formula1>
      <formula2>20</formula2>
    </dataValidation>
    <dataValidation sqref="C13" showDropDown="0" showInputMessage="0" showErrorMessage="1" allowBlank="0" errorTitle="Check this planning input" error="Enter a value between 0 and 10000." type="decimal" errorStyle="stop" operator="between">
      <formula1>0</formula1>
      <formula2>10000</formula2>
    </dataValidation>
    <dataValidation sqref="D13" showDropDown="0" showInputMessage="0" showErrorMessage="1" allowBlank="0" errorTitle="Check this planning input" error="Enter a value between 0 and 10000." type="decimal" errorStyle="stop" operator="between">
      <formula1>0</formula1>
      <formula2>10000</formula2>
    </dataValidation>
    <dataValidation sqref="E13" showDropDown="0" showInputMessage="0" showErrorMessage="1" allowBlank="0" errorTitle="Check this planning input" error="Enter a value between 0 and 10000." type="decimal" errorStyle="stop" operator="between">
      <formula1>0</formula1>
      <formula2>10000</formula2>
    </dataValidation>
    <dataValidation sqref="G13" showDropDown="0" showInputMessage="0" showErrorMessage="1" allowBlank="0" errorTitle="Check this planning input" error="Enter a value between 0 and 10000." type="decimal" errorStyle="stop" operator="between">
      <formula1>0</formula1>
      <formula2>10000</formula2>
    </dataValidation>
    <dataValidation sqref="F13" showDropDown="0" showInputMessage="0" showErrorMessage="1" allowBlank="0" errorTitle="Check this planning input" error="Enter a value between 1 and 20." type="whole" errorStyle="stop" operator="between">
      <formula1>1</formula1>
      <formula2>20</formula2>
    </dataValidation>
    <dataValidation sqref="C14" showDropDown="0" showInputMessage="0" showErrorMessage="1" allowBlank="0" errorTitle="Check this planning input" error="Enter a value between 0 and 10000." type="decimal" errorStyle="stop" operator="between">
      <formula1>0</formula1>
      <formula2>10000</formula2>
    </dataValidation>
    <dataValidation sqref="D14" showDropDown="0" showInputMessage="0" showErrorMessage="1" allowBlank="0" errorTitle="Check this planning input" error="Enter a value between 0 and 10000." type="decimal" errorStyle="stop" operator="between">
      <formula1>0</formula1>
      <formula2>10000</formula2>
    </dataValidation>
    <dataValidation sqref="E14" showDropDown="0" showInputMessage="0" showErrorMessage="1" allowBlank="0" errorTitle="Check this planning input" error="Enter a value between 0 and 10000." type="decimal" errorStyle="stop" operator="between">
      <formula1>0</formula1>
      <formula2>10000</formula2>
    </dataValidation>
    <dataValidation sqref="G14" showDropDown="0" showInputMessage="0" showErrorMessage="1" allowBlank="0" errorTitle="Check this planning input" error="Enter a value between 0 and 10000." type="decimal" errorStyle="stop" operator="between">
      <formula1>0</formula1>
      <formula2>10000</formula2>
    </dataValidation>
    <dataValidation sqref="F14" showDropDown="0" showInputMessage="0" showErrorMessage="1" allowBlank="0" errorTitle="Check this planning input" error="Enter a value between 1 and 20." type="whole" errorStyle="stop" operator="between">
      <formula1>1</formula1>
      <formula2>20</formula2>
    </dataValidation>
    <dataValidation sqref="C15" showDropDown="0" showInputMessage="0" showErrorMessage="1" allowBlank="0" errorTitle="Check this planning input" error="Enter a value between 0 and 10000." type="decimal" errorStyle="stop" operator="between">
      <formula1>0</formula1>
      <formula2>10000</formula2>
    </dataValidation>
    <dataValidation sqref="D15" showDropDown="0" showInputMessage="0" showErrorMessage="1" allowBlank="0" errorTitle="Check this planning input" error="Enter a value between 0 and 10000." type="decimal" errorStyle="stop" operator="between">
      <formula1>0</formula1>
      <formula2>10000</formula2>
    </dataValidation>
    <dataValidation sqref="E15" showDropDown="0" showInputMessage="0" showErrorMessage="1" allowBlank="0" errorTitle="Check this planning input" error="Enter a value between 0 and 10000." type="decimal" errorStyle="stop" operator="between">
      <formula1>0</formula1>
      <formula2>10000</formula2>
    </dataValidation>
    <dataValidation sqref="G15" showDropDown="0" showInputMessage="0" showErrorMessage="1" allowBlank="0" errorTitle="Check this planning input" error="Enter a value between 0 and 10000." type="decimal" errorStyle="stop" operator="between">
      <formula1>0</formula1>
      <formula2>10000</formula2>
    </dataValidation>
    <dataValidation sqref="F15" showDropDown="0" showInputMessage="0" showErrorMessage="1" allowBlank="0" errorTitle="Check this planning input" error="Enter a value between 1 and 20." type="whole" errorStyle="stop" operator="between">
      <formula1>1</formula1>
      <formula2>20</formula2>
    </dataValidation>
    <dataValidation sqref="C16" showDropDown="0" showInputMessage="0" showErrorMessage="1" allowBlank="0" errorTitle="Check this planning input" error="Enter a value between 0 and 10000." type="decimal" errorStyle="stop" operator="between">
      <formula1>0</formula1>
      <formula2>10000</formula2>
    </dataValidation>
    <dataValidation sqref="D16" showDropDown="0" showInputMessage="0" showErrorMessage="1" allowBlank="0" errorTitle="Check this planning input" error="Enter a value between 0 and 10000." type="decimal" errorStyle="stop" operator="between">
      <formula1>0</formula1>
      <formula2>10000</formula2>
    </dataValidation>
    <dataValidation sqref="E16" showDropDown="0" showInputMessage="0" showErrorMessage="1" allowBlank="0" errorTitle="Check this planning input" error="Enter a value between 0 and 10000." type="decimal" errorStyle="stop" operator="between">
      <formula1>0</formula1>
      <formula2>10000</formula2>
    </dataValidation>
    <dataValidation sqref="G16" showDropDown="0" showInputMessage="0" showErrorMessage="1" allowBlank="0" errorTitle="Check this planning input" error="Enter a value between 0 and 10000." type="decimal" errorStyle="stop" operator="between">
      <formula1>0</formula1>
      <formula2>10000</formula2>
    </dataValidation>
    <dataValidation sqref="F16" showDropDown="0" showInputMessage="0" showErrorMessage="1" allowBlank="0" errorTitle="Check this planning input" error="Enter a value between 1 and 20." type="whole" errorStyle="stop" operator="between">
      <formula1>1</formula1>
      <formula2>20</formula2>
    </dataValidation>
    <dataValidation sqref="C17" showDropDown="0" showInputMessage="0" showErrorMessage="1" allowBlank="0" errorTitle="Check this planning input" error="Enter a value between 0 and 10000." type="decimal" errorStyle="stop" operator="between">
      <formula1>0</formula1>
      <formula2>10000</formula2>
    </dataValidation>
    <dataValidation sqref="D17" showDropDown="0" showInputMessage="0" showErrorMessage="1" allowBlank="0" errorTitle="Check this planning input" error="Enter a value between 0 and 10000." type="decimal" errorStyle="stop" operator="between">
      <formula1>0</formula1>
      <formula2>10000</formula2>
    </dataValidation>
    <dataValidation sqref="E17" showDropDown="0" showInputMessage="0" showErrorMessage="1" allowBlank="0" errorTitle="Check this planning input" error="Enter a value between 0 and 10000." type="decimal" errorStyle="stop" operator="between">
      <formula1>0</formula1>
      <formula2>10000</formula2>
    </dataValidation>
    <dataValidation sqref="G17" showDropDown="0" showInputMessage="0" showErrorMessage="1" allowBlank="0" errorTitle="Check this planning input" error="Enter a value between 0 and 10000." type="decimal" errorStyle="stop" operator="between">
      <formula1>0</formula1>
      <formula2>10000</formula2>
    </dataValidation>
    <dataValidation sqref="F17" showDropDown="0" showInputMessage="0" showErrorMessage="1" allowBlank="0" errorTitle="Check this planning input" error="Enter a value between 1 and 20." type="whole" errorStyle="stop" operator="between">
      <formula1>1</formula1>
      <formula2>20</formula2>
    </dataValidation>
  </dataValidations>
  <printOptions horizontalCentered="1"/>
  <pageMargins left="0.3" right="0.3" top="0.4" bottom="0.4" header="0.5" footer="0.5"/>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tabColor rgb="0017364D"/>
    <outlinePr summaryBelow="1" summaryRight="1"/>
    <pageSetUpPr fitToPage="1"/>
  </sheetPr>
  <dimension ref="A1:W25"/>
  <sheetViews>
    <sheetView showGridLines="0" zoomScale="90" workbookViewId="0">
      <pane xSplit="1" ySplit="8" topLeftCell="B9"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2" customWidth="1" min="3" max="3"/>
    <col width="11" customWidth="1" min="4" max="4"/>
    <col width="12" customWidth="1" min="5" max="5"/>
    <col width="12" customWidth="1" min="6" max="6"/>
    <col width="14" customWidth="1" min="7" max="7"/>
    <col width="19" customWidth="1" min="8" max="8"/>
    <col width="45"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s>
  <sheetData>
    <row r="1" ht="20" customHeight="1">
      <c r="A1" s="1" t="inlineStr">
        <is>
          <t>Compare teams | same pilot scope</t>
        </is>
      </c>
    </row>
    <row r="2" ht="20" customHeight="1"/>
    <row r="3" ht="30" customHeight="1">
      <c r="A3" s="2" t="inlineStr">
        <is>
          <t>The scope and work estimates stay the same. Scenarios use all other current Inputs and Plan assumptions.</t>
        </is>
      </c>
    </row>
    <row r="4" ht="23" customHeight="1"/>
    <row r="5" ht="23" customHeight="1">
      <c r="A5" s="36" t="inlineStr">
        <is>
          <t>The first row follows Inputs. Other rows are editable examples, not staffing recommendations. A larger junior team can increase the senior mentoring load and delay expert-critical work.</t>
        </is>
      </c>
    </row>
    <row r="6" ht="23" customHeight="1"/>
    <row r="7" ht="23" customHeight="1"/>
    <row r="8" ht="36" customHeight="1">
      <c r="A8" s="37" t="inlineStr">
        <is>
          <t>Scenario</t>
        </is>
      </c>
      <c r="B8" s="38" t="inlineStr">
        <is>
          <t>Experienced</t>
        </is>
      </c>
      <c r="C8" s="37" t="inlineStr">
        <is>
          <t>Junior</t>
        </is>
      </c>
      <c r="D8" s="37" t="inlineStr">
        <is>
          <t>Total</t>
        </is>
      </c>
      <c r="E8" s="37" t="inlineStr">
        <is>
          <t>Demo
week</t>
        </is>
      </c>
      <c r="F8" s="37" t="inlineStr">
        <is>
          <t>Full pilot
week</t>
        </is>
      </c>
      <c r="G8" s="37" t="inlineStr">
        <is>
          <t>With reserve
week</t>
        </is>
      </c>
      <c r="H8" s="37" t="inlineStr">
        <is>
          <t>Nominal
allocated hours</t>
        </is>
      </c>
      <c r="I8" s="37" t="inlineStr">
        <is>
          <t>Interpretation</t>
        </is>
      </c>
    </row>
    <row r="9" ht="57" customHeight="1">
      <c r="A9" s="9" t="inlineStr">
        <is>
          <t>Current inputs</t>
        </is>
      </c>
      <c r="B9" s="56" t="n">
        <f>IFERROR(Inputs!C7,"")</f>
        <v>1</v>
      </c>
      <c r="C9" s="56" t="n">
        <f>IFERROR(Inputs!C6,"")</f>
        <v>1</v>
      </c>
      <c r="D9" s="44" t="n">
        <f>IFERROR(B9+C9,"")</f>
        <v>2</v>
      </c>
      <c r="E9" s="40" t="n">
        <f>IFERROR(IF(J9&lt;&gt;"OK","",SUM(O9:S9)+SUM(Plan!$G$9:$G$13)),"")</f>
        <v>8</v>
      </c>
      <c r="F9" s="40" t="n">
        <f>IFERROR(IF(J9&lt;&gt;"OK","",SUM(O9:W9)+SUM(Plan!$G$9:$G$17)),"")</f>
        <v>18</v>
      </c>
      <c r="G9" s="40" t="n">
        <f>IFERROR(IF(F9="","",F9+Inputs!$C$22),"")</f>
        <v>20</v>
      </c>
      <c r="H9" s="45" t="n">
        <f>IFERROR(IF(F9="","",F9*Inputs!$C$8*(B9*Inputs!$C$9+C9*Inputs!$C$10)),"")</f>
        <v>1440</v>
      </c>
      <c r="I9" s="18" t="inlineStr">
        <is>
          <t>Live forecast for the selected team.</t>
        </is>
      </c>
      <c r="J9" s="6" t="str">
        <f>IFERROR(IF(OR(Inputs!$C$32&lt;&gt;"OK",B9&lt;1,B9&lt;&gt;INT(B9),C9&lt;0,C9&lt;&gt;INT(C9),K9&lt;=0,COUNTIF(Plan!$T$9:$T$17,"BLOCKED")&gt;0),"BLOCKED","OK"),"BLOCKED")</f>
        <v>OK</v>
      </c>
      <c r="K9" s="6" t="n">
        <f>IFERROR(MAX(0,B9*Inputs!$C$8*Inputs!$C$9*Inputs!$C$12-C9*Inputs!$C$10*Inputs!$C$15),"")</f>
        <v>28</v>
      </c>
      <c r="L9" s="6" t="n">
        <f>IFERROR(IF(B9&gt;0,K9/B9,0),"")</f>
        <v>28</v>
      </c>
      <c r="M9" s="6" t="n">
        <f>IFERROR(MIN(C9,Inputs!$C$17)*Inputs!$C$29,"")</f>
        <v>24</v>
      </c>
      <c r="N9" s="6" t="n">
        <f>IFERROR(MIN(C9,Inputs!$C$17)*Inputs!$C$30,"")</f>
        <v>12</v>
      </c>
      <c r="O9" s="6" t="n">
        <f>IFERROR(IF(J9&lt;&gt;"OK","",ROUNDUP(MAX(Plan!$E$9,Plan!$C$9*Inputs!$C$24/(MIN(B9,Inputs!$C$16,Plan!$F$9)*L9),(Plan!$C$9+Plan!$D$9)*Inputs!$C$24/(MIN(B9,Inputs!$C$16)*L9+N9))/Inputs!$C$23,0)*Inputs!$C$23),"")</f>
        <v>2</v>
      </c>
      <c r="P9" s="6" t="n">
        <f>IFERROR(IF(J9&lt;&gt;"OK","",ROUNDUP(MAX(Plan!$E$10,Plan!$C$10*Inputs!$C$24/(MIN(B9,Inputs!$C$16,Plan!$F$10)*L9),(Plan!$C$10+Plan!$D$10)*Inputs!$C$24/(MIN(B9,Inputs!$C$16)*L9+M9))/Inputs!$C$23,0)*Inputs!$C$23),"")</f>
        <v>2</v>
      </c>
      <c r="Q9" s="6" t="n">
        <f>IFERROR(IF(J9&lt;&gt;"OK","",ROUNDUP(MAX(Plan!$E$11,Plan!$C$11*Inputs!$C$24/(MIN(B9,Inputs!$C$16,Plan!$F$11)*L9),(Plan!$C$11+Plan!$D$11)*Inputs!$C$24/(MIN(B9,Inputs!$C$16)*L9+M9))/Inputs!$C$23,0)*Inputs!$C$23),"")</f>
        <v>1</v>
      </c>
      <c r="R9" s="6" t="n">
        <f>IFERROR(IF(J9&lt;&gt;"OK","",ROUNDUP(MAX(Plan!$E$12,Plan!$C$12*Inputs!$C$24/(MIN(B9,Inputs!$C$16,Plan!$F$12)*L9),(Plan!$C$12+Plan!$D$12)*Inputs!$C$24/(MIN(B9,Inputs!$C$16)*L9+M9))/Inputs!$C$23,0)*Inputs!$C$23),"")</f>
        <v>1</v>
      </c>
      <c r="S9" s="6" t="n">
        <f>IFERROR(IF(J9&lt;&gt;"OK","",ROUNDUP(MAX(Plan!$E$13,Plan!$C$13*Inputs!$C$24/(MIN(B9,Inputs!$C$16,Plan!$F$13)*L9),(Plan!$C$13+Plan!$D$13)*Inputs!$C$24/(MIN(B9,Inputs!$C$16)*L9+M9))/Inputs!$C$23,0)*Inputs!$C$23),"")</f>
        <v>2</v>
      </c>
      <c r="T9" s="6" t="n">
        <f>IFERROR(IF(J9&lt;&gt;"OK","",ROUNDUP(MAX(Plan!$E$14,Plan!$C$14*Inputs!$C$24/(MIN(B9,Inputs!$C$16,Plan!$F$14)*L9),(Plan!$C$14+Plan!$D$14)*Inputs!$C$24/(MIN(B9,Inputs!$C$16)*L9+M9))/Inputs!$C$23,0)*Inputs!$C$23),"")</f>
        <v>2</v>
      </c>
      <c r="U9" s="6" t="n">
        <f>IFERROR(IF(J9&lt;&gt;"OK","",ROUNDUP(MAX(Plan!$E$15,Plan!$C$15*Inputs!$C$24/(MIN(B9,Inputs!$C$16,Plan!$F$15)*L9),(Plan!$C$15+Plan!$D$15)*Inputs!$C$24/(MIN(B9,Inputs!$C$16)*L9+M9))/Inputs!$C$23,0)*Inputs!$C$23),"")</f>
        <v>3</v>
      </c>
      <c r="V9" s="6" t="n">
        <f>IFERROR(IF(J9&lt;&gt;"OK","",ROUNDUP(MAX(Plan!$E$16,Plan!$C$16*Inputs!$C$24/(MIN(B9,Inputs!$C$16,Plan!$F$16)*L9),(Plan!$C$16+Plan!$D$16)*Inputs!$C$24/(MIN(B9,Inputs!$C$16)*L9+M9))/Inputs!$C$23,0)*Inputs!$C$23),"")</f>
        <v>2</v>
      </c>
      <c r="W9" s="6" t="n">
        <f>IFERROR(IF(J9&lt;&gt;"OK","",ROUNDUP(MAX(Plan!$E$17,Plan!$C$17*Inputs!$C$24/(MIN(B9,Inputs!$C$16,Plan!$F$17)*L9),(Plan!$C$17+Plan!$D$17)*Inputs!$C$24/(MIN(B9,Inputs!$C$16)*L9+M9))/Inputs!$C$23,0)*Inputs!$C$23),"")</f>
        <v>3</v>
      </c>
    </row>
    <row r="10" ht="57" customHeight="1">
      <c r="A10" s="46" t="str">
        <f>IFERROR(D10&amp;" developers","")</f>
        <v>2 developers</v>
      </c>
      <c r="B10" s="26" t="n">
        <v>1</v>
      </c>
      <c r="C10" s="26" t="n">
        <v>1</v>
      </c>
      <c r="D10" s="44" t="n">
        <f>IFERROR(B10+C10,"")</f>
        <v>2</v>
      </c>
      <c r="E10" s="10" t="n">
        <f>IFERROR(IF(J10&lt;&gt;"OK","",SUM(O10:S10)+SUM(Plan!$G$9:$G$13)),"")</f>
        <v>8</v>
      </c>
      <c r="F10" s="10" t="n">
        <f>IFERROR(IF(J10&lt;&gt;"OK","",SUM(O10:W10)+SUM(Plan!$G$9:$G$17)),"")</f>
        <v>18</v>
      </c>
      <c r="G10" s="10" t="n">
        <f>IFERROR(IF(F10="","",F10+Inputs!$C$22),"")</f>
        <v>20</v>
      </c>
      <c r="H10" s="47" t="n">
        <f>IFERROR(IF(F10="","",F10*Inputs!$C$8*(B10*Inputs!$C$9+C10*Inputs!$C$10)),"")</f>
        <v>1440</v>
      </c>
      <c r="I10" s="18" t="inlineStr">
        <is>
          <t>Editable comparison; role mix is shown in columns B-C.</t>
        </is>
      </c>
      <c r="J10" s="6" t="str">
        <f>IFERROR(IF(OR(Inputs!$C$32&lt;&gt;"OK",B10&lt;1,B10&lt;&gt;INT(B10),C10&lt;0,C10&lt;&gt;INT(C10),K10&lt;=0,COUNTIF(Plan!$T$9:$T$17,"BLOCKED")&gt;0),"BLOCKED","OK"),"BLOCKED")</f>
        <v>OK</v>
      </c>
      <c r="K10" s="6" t="n">
        <f>IFERROR(MAX(0,B10*Inputs!$C$8*Inputs!$C$9*Inputs!$C$12-C10*Inputs!$C$10*Inputs!$C$15),"")</f>
        <v>28</v>
      </c>
      <c r="L10" s="6" t="n">
        <f>IFERROR(IF(B10&gt;0,K10/B10,0),"")</f>
        <v>28</v>
      </c>
      <c r="M10" s="6" t="n">
        <f>IFERROR(MIN(C10,Inputs!$C$17)*Inputs!$C$29,"")</f>
        <v>24</v>
      </c>
      <c r="N10" s="6" t="n">
        <f>IFERROR(MIN(C10,Inputs!$C$17)*Inputs!$C$30,"")</f>
        <v>12</v>
      </c>
      <c r="O10" s="6" t="n">
        <f>IFERROR(IF(J10&lt;&gt;"OK","",ROUNDUP(MAX(Plan!$E$9,Plan!$C$9*Inputs!$C$24/(MIN(B10,Inputs!$C$16,Plan!$F$9)*L10),(Plan!$C$9+Plan!$D$9)*Inputs!$C$24/(MIN(B10,Inputs!$C$16)*L10+N10))/Inputs!$C$23,0)*Inputs!$C$23),"")</f>
        <v>2</v>
      </c>
      <c r="P10" s="6" t="n">
        <f>IFERROR(IF(J10&lt;&gt;"OK","",ROUNDUP(MAX(Plan!$E$10,Plan!$C$10*Inputs!$C$24/(MIN(B10,Inputs!$C$16,Plan!$F$10)*L10),(Plan!$C$10+Plan!$D$10)*Inputs!$C$24/(MIN(B10,Inputs!$C$16)*L10+M10))/Inputs!$C$23,0)*Inputs!$C$23),"")</f>
        <v>2</v>
      </c>
      <c r="Q10" s="6" t="n">
        <f>IFERROR(IF(J10&lt;&gt;"OK","",ROUNDUP(MAX(Plan!$E$11,Plan!$C$11*Inputs!$C$24/(MIN(B10,Inputs!$C$16,Plan!$F$11)*L10),(Plan!$C$11+Plan!$D$11)*Inputs!$C$24/(MIN(B10,Inputs!$C$16)*L10+M10))/Inputs!$C$23,0)*Inputs!$C$23),"")</f>
        <v>1</v>
      </c>
      <c r="R10" s="6" t="n">
        <f>IFERROR(IF(J10&lt;&gt;"OK","",ROUNDUP(MAX(Plan!$E$12,Plan!$C$12*Inputs!$C$24/(MIN(B10,Inputs!$C$16,Plan!$F$12)*L10),(Plan!$C$12+Plan!$D$12)*Inputs!$C$24/(MIN(B10,Inputs!$C$16)*L10+M10))/Inputs!$C$23,0)*Inputs!$C$23),"")</f>
        <v>1</v>
      </c>
      <c r="S10" s="6" t="n">
        <f>IFERROR(IF(J10&lt;&gt;"OK","",ROUNDUP(MAX(Plan!$E$13,Plan!$C$13*Inputs!$C$24/(MIN(B10,Inputs!$C$16,Plan!$F$13)*L10),(Plan!$C$13+Plan!$D$13)*Inputs!$C$24/(MIN(B10,Inputs!$C$16)*L10+M10))/Inputs!$C$23,0)*Inputs!$C$23),"")</f>
        <v>2</v>
      </c>
      <c r="T10" s="6" t="n">
        <f>IFERROR(IF(J10&lt;&gt;"OK","",ROUNDUP(MAX(Plan!$E$14,Plan!$C$14*Inputs!$C$24/(MIN(B10,Inputs!$C$16,Plan!$F$14)*L10),(Plan!$C$14+Plan!$D$14)*Inputs!$C$24/(MIN(B10,Inputs!$C$16)*L10+M10))/Inputs!$C$23,0)*Inputs!$C$23),"")</f>
        <v>2</v>
      </c>
      <c r="U10" s="6" t="n">
        <f>IFERROR(IF(J10&lt;&gt;"OK","",ROUNDUP(MAX(Plan!$E$15,Plan!$C$15*Inputs!$C$24/(MIN(B10,Inputs!$C$16,Plan!$F$15)*L10),(Plan!$C$15+Plan!$D$15)*Inputs!$C$24/(MIN(B10,Inputs!$C$16)*L10+M10))/Inputs!$C$23,0)*Inputs!$C$23),"")</f>
        <v>3</v>
      </c>
      <c r="V10" s="6" t="n">
        <f>IFERROR(IF(J10&lt;&gt;"OK","",ROUNDUP(MAX(Plan!$E$16,Plan!$C$16*Inputs!$C$24/(MIN(B10,Inputs!$C$16,Plan!$F$16)*L10),(Plan!$C$16+Plan!$D$16)*Inputs!$C$24/(MIN(B10,Inputs!$C$16)*L10+M10))/Inputs!$C$23,0)*Inputs!$C$23),"")</f>
        <v>2</v>
      </c>
      <c r="W10" s="6" t="n">
        <f>IFERROR(IF(J10&lt;&gt;"OK","",ROUNDUP(MAX(Plan!$E$17,Plan!$C$17*Inputs!$C$24/(MIN(B10,Inputs!$C$16,Plan!$F$17)*L10),(Plan!$C$17+Plan!$D$17)*Inputs!$C$24/(MIN(B10,Inputs!$C$16)*L10+M10))/Inputs!$C$23,0)*Inputs!$C$23),"")</f>
        <v>3</v>
      </c>
    </row>
    <row r="11" ht="57" customHeight="1">
      <c r="A11" s="46" t="str">
        <f>IFERROR(D11&amp;" developers","")</f>
        <v>3 developers</v>
      </c>
      <c r="B11" s="26" t="n">
        <v>2</v>
      </c>
      <c r="C11" s="26" t="n">
        <v>1</v>
      </c>
      <c r="D11" s="44" t="n">
        <f>IFERROR(B11+C11,"")</f>
        <v>3</v>
      </c>
      <c r="E11" s="10" t="n">
        <f>IFERROR(IF(J11&lt;&gt;"OK","",SUM(O11:S11)+SUM(Plan!$G$9:$G$13)),"")</f>
        <v>7</v>
      </c>
      <c r="F11" s="10" t="n">
        <f>IFERROR(IF(J11&lt;&gt;"OK","",SUM(O11:W11)+SUM(Plan!$G$9:$G$17)),"")</f>
        <v>14.5</v>
      </c>
      <c r="G11" s="10" t="n">
        <f>IFERROR(IF(F11="","",F11+Inputs!$C$22),"")</f>
        <v>16.5</v>
      </c>
      <c r="H11" s="47" t="n">
        <f>IFERROR(IF(F11="","",F11*Inputs!$C$8*(B11*Inputs!$C$9+C11*Inputs!$C$10)),"")</f>
        <v>1740</v>
      </c>
      <c r="I11" s="18" t="inlineStr">
        <is>
          <t>Expert lead capacity and support work both constrain the forecast.</t>
        </is>
      </c>
      <c r="J11" s="6" t="str">
        <f>IFERROR(IF(OR(Inputs!$C$32&lt;&gt;"OK",B11&lt;1,B11&lt;&gt;INT(B11),C11&lt;0,C11&lt;&gt;INT(C11),K11&lt;=0,COUNTIF(Plan!$T$9:$T$17,"BLOCKED")&gt;0),"BLOCKED","OK"),"BLOCKED")</f>
        <v>OK</v>
      </c>
      <c r="K11" s="6" t="n">
        <f>IFERROR(MAX(0,B11*Inputs!$C$8*Inputs!$C$9*Inputs!$C$12-C11*Inputs!$C$10*Inputs!$C$15),"")</f>
        <v>62</v>
      </c>
      <c r="L11" s="6" t="n">
        <f>IFERROR(IF(B11&gt;0,K11/B11,0),"")</f>
        <v>31</v>
      </c>
      <c r="M11" s="6" t="n">
        <f>IFERROR(MIN(C11,Inputs!$C$17)*Inputs!$C$29,"")</f>
        <v>24</v>
      </c>
      <c r="N11" s="6" t="n">
        <f>IFERROR(MIN(C11,Inputs!$C$17)*Inputs!$C$30,"")</f>
        <v>12</v>
      </c>
      <c r="O11" s="6" t="n">
        <f>IFERROR(IF(J11&lt;&gt;"OK","",ROUNDUP(MAX(Plan!$E$9,Plan!$C$9*Inputs!$C$24/(MIN(B11,Inputs!$C$16,Plan!$F$9)*L11),(Plan!$C$9+Plan!$D$9)*Inputs!$C$24/(MIN(B11,Inputs!$C$16)*L11+N11))/Inputs!$C$23,0)*Inputs!$C$23),"")</f>
        <v>2</v>
      </c>
      <c r="P11" s="6" t="n">
        <f>IFERROR(IF(J11&lt;&gt;"OK","",ROUNDUP(MAX(Plan!$E$10,Plan!$C$10*Inputs!$C$24/(MIN(B11,Inputs!$C$16,Plan!$F$10)*L11),(Plan!$C$10+Plan!$D$10)*Inputs!$C$24/(MIN(B11,Inputs!$C$16)*L11+M11))/Inputs!$C$23,0)*Inputs!$C$23),"")</f>
        <v>1.5</v>
      </c>
      <c r="Q11" s="6" t="n">
        <f>IFERROR(IF(J11&lt;&gt;"OK","",ROUNDUP(MAX(Plan!$E$11,Plan!$C$11*Inputs!$C$24/(MIN(B11,Inputs!$C$16,Plan!$F$11)*L11),(Plan!$C$11+Plan!$D$11)*Inputs!$C$24/(MIN(B11,Inputs!$C$16)*L11+M11))/Inputs!$C$23,0)*Inputs!$C$23),"")</f>
        <v>1</v>
      </c>
      <c r="R11" s="6" t="n">
        <f>IFERROR(IF(J11&lt;&gt;"OK","",ROUNDUP(MAX(Plan!$E$12,Plan!$C$12*Inputs!$C$24/(MIN(B11,Inputs!$C$16,Plan!$F$12)*L11),(Plan!$C$12+Plan!$D$12)*Inputs!$C$24/(MIN(B11,Inputs!$C$16)*L11+M11))/Inputs!$C$23,0)*Inputs!$C$23),"")</f>
        <v>1</v>
      </c>
      <c r="S11" s="6" t="n">
        <f>IFERROR(IF(J11&lt;&gt;"OK","",ROUNDUP(MAX(Plan!$E$13,Plan!$C$13*Inputs!$C$24/(MIN(B11,Inputs!$C$16,Plan!$F$13)*L11),(Plan!$C$13+Plan!$D$13)*Inputs!$C$24/(MIN(B11,Inputs!$C$16)*L11+M11))/Inputs!$C$23,0)*Inputs!$C$23),"")</f>
        <v>1.5</v>
      </c>
      <c r="T11" s="6" t="n">
        <f>IFERROR(IF(J11&lt;&gt;"OK","",ROUNDUP(MAX(Plan!$E$14,Plan!$C$14*Inputs!$C$24/(MIN(B11,Inputs!$C$16,Plan!$F$14)*L11),(Plan!$C$14+Plan!$D$14)*Inputs!$C$24/(MIN(B11,Inputs!$C$16)*L11+M11))/Inputs!$C$23,0)*Inputs!$C$23),"")</f>
        <v>1.5</v>
      </c>
      <c r="U11" s="6" t="n">
        <f>IFERROR(IF(J11&lt;&gt;"OK","",ROUNDUP(MAX(Plan!$E$15,Plan!$C$15*Inputs!$C$24/(MIN(B11,Inputs!$C$16,Plan!$F$15)*L11),(Plan!$C$15+Plan!$D$15)*Inputs!$C$24/(MIN(B11,Inputs!$C$16)*L11+M11))/Inputs!$C$23,0)*Inputs!$C$23),"")</f>
        <v>2</v>
      </c>
      <c r="V11" s="6" t="n">
        <f>IFERROR(IF(J11&lt;&gt;"OK","",ROUNDUP(MAX(Plan!$E$16,Plan!$C$16*Inputs!$C$24/(MIN(B11,Inputs!$C$16,Plan!$F$16)*L11),(Plan!$C$16+Plan!$D$16)*Inputs!$C$24/(MIN(B11,Inputs!$C$16)*L11+M11))/Inputs!$C$23,0)*Inputs!$C$23),"")</f>
        <v>2</v>
      </c>
      <c r="W11" s="6" t="n">
        <f>IFERROR(IF(J11&lt;&gt;"OK","",ROUNDUP(MAX(Plan!$E$17,Plan!$C$17*Inputs!$C$24/(MIN(B11,Inputs!$C$16,Plan!$F$17)*L11),(Plan!$C$17+Plan!$D$17)*Inputs!$C$24/(MIN(B11,Inputs!$C$16)*L11+M11))/Inputs!$C$23,0)*Inputs!$C$23),"")</f>
        <v>2</v>
      </c>
    </row>
    <row r="12" ht="57" customHeight="1">
      <c r="A12" s="46" t="str">
        <f>IFERROR(D12&amp;" developers","")</f>
        <v>4 developers</v>
      </c>
      <c r="B12" s="26" t="n">
        <v>3</v>
      </c>
      <c r="C12" s="26" t="n">
        <v>1</v>
      </c>
      <c r="D12" s="44" t="n">
        <f>IFERROR(B12+C12,"")</f>
        <v>4</v>
      </c>
      <c r="E12" s="10" t="n">
        <f>IFERROR(IF(J12&lt;&gt;"OK","",SUM(O12:S12)+SUM(Plan!$G$9:$G$13)),"")</f>
        <v>7</v>
      </c>
      <c r="F12" s="10" t="n">
        <f>IFERROR(IF(J12&lt;&gt;"OK","",SUM(O12:W12)+SUM(Plan!$G$9:$G$17)),"")</f>
        <v>14</v>
      </c>
      <c r="G12" s="10" t="n">
        <f>IFERROR(IF(F12="","",F12+Inputs!$C$22),"")</f>
        <v>16</v>
      </c>
      <c r="H12" s="47" t="n">
        <f>IFERROR(IF(F12="","",F12*Inputs!$C$8*(B12*Inputs!$C$9+C12*Inputs!$C$10)),"")</f>
        <v>2240</v>
      </c>
      <c r="I12" s="18" t="inlineStr">
        <is>
          <t>Phase caps and gate time limit further acceleration.</t>
        </is>
      </c>
      <c r="J12" s="6" t="str">
        <f>IFERROR(IF(OR(Inputs!$C$32&lt;&gt;"OK",B12&lt;1,B12&lt;&gt;INT(B12),C12&lt;0,C12&lt;&gt;INT(C12),K12&lt;=0,COUNTIF(Plan!$T$9:$T$17,"BLOCKED")&gt;0),"BLOCKED","OK"),"BLOCKED")</f>
        <v>OK</v>
      </c>
      <c r="K12" s="6" t="n">
        <f>IFERROR(MAX(0,B12*Inputs!$C$8*Inputs!$C$9*Inputs!$C$12-C12*Inputs!$C$10*Inputs!$C$15),"")</f>
        <v>96</v>
      </c>
      <c r="L12" s="6" t="n">
        <f>IFERROR(IF(B12&gt;0,K12/B12,0),"")</f>
        <v>32</v>
      </c>
      <c r="M12" s="6" t="n">
        <f>IFERROR(MIN(C12,Inputs!$C$17)*Inputs!$C$29,"")</f>
        <v>24</v>
      </c>
      <c r="N12" s="6" t="n">
        <f>IFERROR(MIN(C12,Inputs!$C$17)*Inputs!$C$30,"")</f>
        <v>12</v>
      </c>
      <c r="O12" s="6" t="n">
        <f>IFERROR(IF(J12&lt;&gt;"OK","",ROUNDUP(MAX(Plan!$E$9,Plan!$C$9*Inputs!$C$24/(MIN(B12,Inputs!$C$16,Plan!$F$9)*L12),(Plan!$C$9+Plan!$D$9)*Inputs!$C$24/(MIN(B12,Inputs!$C$16)*L12+N12))/Inputs!$C$23,0)*Inputs!$C$23),"")</f>
        <v>2</v>
      </c>
      <c r="P12" s="6" t="n">
        <f>IFERROR(IF(J12&lt;&gt;"OK","",ROUNDUP(MAX(Plan!$E$10,Plan!$C$10*Inputs!$C$24/(MIN(B12,Inputs!$C$16,Plan!$F$10)*L12),(Plan!$C$10+Plan!$D$10)*Inputs!$C$24/(MIN(B12,Inputs!$C$16)*L12+M12))/Inputs!$C$23,0)*Inputs!$C$23),"")</f>
        <v>1.5</v>
      </c>
      <c r="Q12" s="6" t="n">
        <f>IFERROR(IF(J12&lt;&gt;"OK","",ROUNDUP(MAX(Plan!$E$11,Plan!$C$11*Inputs!$C$24/(MIN(B12,Inputs!$C$16,Plan!$F$11)*L12),(Plan!$C$11+Plan!$D$11)*Inputs!$C$24/(MIN(B12,Inputs!$C$16)*L12+M12))/Inputs!$C$23,0)*Inputs!$C$23),"")</f>
        <v>1</v>
      </c>
      <c r="R12" s="6" t="n">
        <f>IFERROR(IF(J12&lt;&gt;"OK","",ROUNDUP(MAX(Plan!$E$12,Plan!$C$12*Inputs!$C$24/(MIN(B12,Inputs!$C$16,Plan!$F$12)*L12),(Plan!$C$12+Plan!$D$12)*Inputs!$C$24/(MIN(B12,Inputs!$C$16)*L12+M12))/Inputs!$C$23,0)*Inputs!$C$23),"")</f>
        <v>1</v>
      </c>
      <c r="S12" s="6" t="n">
        <f>IFERROR(IF(J12&lt;&gt;"OK","",ROUNDUP(MAX(Plan!$E$13,Plan!$C$13*Inputs!$C$24/(MIN(B12,Inputs!$C$16,Plan!$F$13)*L12),(Plan!$C$13+Plan!$D$13)*Inputs!$C$24/(MIN(B12,Inputs!$C$16)*L12+M12))/Inputs!$C$23,0)*Inputs!$C$23),"")</f>
        <v>1.5</v>
      </c>
      <c r="T12" s="6" t="n">
        <f>IFERROR(IF(J12&lt;&gt;"OK","",ROUNDUP(MAX(Plan!$E$14,Plan!$C$14*Inputs!$C$24/(MIN(B12,Inputs!$C$16,Plan!$F$14)*L12),(Plan!$C$14+Plan!$D$14)*Inputs!$C$24/(MIN(B12,Inputs!$C$16)*L12+M12))/Inputs!$C$23,0)*Inputs!$C$23),"")</f>
        <v>1.5</v>
      </c>
      <c r="U12" s="6" t="n">
        <f>IFERROR(IF(J12&lt;&gt;"OK","",ROUNDUP(MAX(Plan!$E$15,Plan!$C$15*Inputs!$C$24/(MIN(B12,Inputs!$C$16,Plan!$F$15)*L12),(Plan!$C$15+Plan!$D$15)*Inputs!$C$24/(MIN(B12,Inputs!$C$16)*L12+M12))/Inputs!$C$23,0)*Inputs!$C$23),"")</f>
        <v>2</v>
      </c>
      <c r="V12" s="6" t="n">
        <f>IFERROR(IF(J12&lt;&gt;"OK","",ROUNDUP(MAX(Plan!$E$16,Plan!$C$16*Inputs!$C$24/(MIN(B12,Inputs!$C$16,Plan!$F$16)*L12),(Plan!$C$16+Plan!$D$16)*Inputs!$C$24/(MIN(B12,Inputs!$C$16)*L12+M12))/Inputs!$C$23,0)*Inputs!$C$23),"")</f>
        <v>1.5</v>
      </c>
      <c r="W12" s="6" t="n">
        <f>IFERROR(IF(J12&lt;&gt;"OK","",ROUNDUP(MAX(Plan!$E$17,Plan!$C$17*Inputs!$C$24/(MIN(B12,Inputs!$C$16,Plan!$F$17)*L12),(Plan!$C$17+Plan!$D$17)*Inputs!$C$24/(MIN(B12,Inputs!$C$16)*L12+M12))/Inputs!$C$23,0)*Inputs!$C$23),"")</f>
        <v>2</v>
      </c>
    </row>
    <row r="13" ht="57" customHeight="1">
      <c r="A13" s="46" t="str">
        <f>IFERROR(D13&amp;" developers","")</f>
        <v>2 developers</v>
      </c>
      <c r="B13" s="26" t="n">
        <v>2</v>
      </c>
      <c r="C13" s="26" t="n">
        <v>0</v>
      </c>
      <c r="D13" s="44" t="n">
        <f>IFERROR(B13+C13,"")</f>
        <v>2</v>
      </c>
      <c r="E13" s="10" t="n">
        <f>IFERROR(IF(J13&lt;&gt;"OK","",SUM(O13:S13)+SUM(Plan!$G$9:$G$13)),"")</f>
        <v>7.5</v>
      </c>
      <c r="F13" s="10" t="n">
        <f>IFERROR(IF(J13&lt;&gt;"OK","",SUM(O13:W13)+SUM(Plan!$G$9:$G$17)),"")</f>
        <v>15</v>
      </c>
      <c r="G13" s="10" t="n">
        <f>IFERROR(IF(F13="","",F13+Inputs!$C$22),"")</f>
        <v>17</v>
      </c>
      <c r="H13" s="47" t="n">
        <f>IFERROR(IF(F13="","",F13*Inputs!$C$8*(B13*Inputs!$C$9+C13*Inputs!$C$10)),"")</f>
        <v>1200</v>
      </c>
      <c r="I13" s="18" t="inlineStr">
        <is>
          <t>Experienced staff also cover the support workload.</t>
        </is>
      </c>
      <c r="J13" s="6" t="str">
        <f>IFERROR(IF(OR(Inputs!$C$32&lt;&gt;"OK",B13&lt;1,B13&lt;&gt;INT(B13),C13&lt;0,C13&lt;&gt;INT(C13),K13&lt;=0,COUNTIF(Plan!$T$9:$T$17,"BLOCKED")&gt;0),"BLOCKED","OK"),"BLOCKED")</f>
        <v>OK</v>
      </c>
      <c r="K13" s="6" t="n">
        <f>IFERROR(MAX(0,B13*Inputs!$C$8*Inputs!$C$9*Inputs!$C$12-C13*Inputs!$C$10*Inputs!$C$15),"")</f>
        <v>68</v>
      </c>
      <c r="L13" s="6" t="n">
        <f>IFERROR(IF(B13&gt;0,K13/B13,0),"")</f>
        <v>34</v>
      </c>
      <c r="M13" s="6" t="n">
        <f>IFERROR(MIN(C13,Inputs!$C$17)*Inputs!$C$29,"")</f>
        <v>0</v>
      </c>
      <c r="N13" s="6" t="n">
        <f>IFERROR(MIN(C13,Inputs!$C$17)*Inputs!$C$30,"")</f>
        <v>0</v>
      </c>
      <c r="O13" s="6" t="n">
        <f>IFERROR(IF(J13&lt;&gt;"OK","",ROUNDUP(MAX(Plan!$E$9,Plan!$C$9*Inputs!$C$24/(MIN(B13,Inputs!$C$16,Plan!$F$9)*L13),(Plan!$C$9+Plan!$D$9)*Inputs!$C$24/(MIN(B13,Inputs!$C$16)*L13+N13))/Inputs!$C$23,0)*Inputs!$C$23),"")</f>
        <v>2</v>
      </c>
      <c r="P13" s="6" t="n">
        <f>IFERROR(IF(J13&lt;&gt;"OK","",ROUNDUP(MAX(Plan!$E$10,Plan!$C$10*Inputs!$C$24/(MIN(B13,Inputs!$C$16,Plan!$F$10)*L13),(Plan!$C$10+Plan!$D$10)*Inputs!$C$24/(MIN(B13,Inputs!$C$16)*L13+M13))/Inputs!$C$23,0)*Inputs!$C$23),"")</f>
        <v>2</v>
      </c>
      <c r="Q13" s="6" t="n">
        <f>IFERROR(IF(J13&lt;&gt;"OK","",ROUNDUP(MAX(Plan!$E$11,Plan!$C$11*Inputs!$C$24/(MIN(B13,Inputs!$C$16,Plan!$F$11)*L13),(Plan!$C$11+Plan!$D$11)*Inputs!$C$24/(MIN(B13,Inputs!$C$16)*L13+M13))/Inputs!$C$23,0)*Inputs!$C$23),"")</f>
        <v>1</v>
      </c>
      <c r="R13" s="6" t="n">
        <f>IFERROR(IF(J13&lt;&gt;"OK","",ROUNDUP(MAX(Plan!$E$12,Plan!$C$12*Inputs!$C$24/(MIN(B13,Inputs!$C$16,Plan!$F$12)*L13),(Plan!$C$12+Plan!$D$12)*Inputs!$C$24/(MIN(B13,Inputs!$C$16)*L13+M13))/Inputs!$C$23,0)*Inputs!$C$23),"")</f>
        <v>1</v>
      </c>
      <c r="S13" s="6" t="n">
        <f>IFERROR(IF(J13&lt;&gt;"OK","",ROUNDUP(MAX(Plan!$E$13,Plan!$C$13*Inputs!$C$24/(MIN(B13,Inputs!$C$16,Plan!$F$13)*L13),(Plan!$C$13+Plan!$D$13)*Inputs!$C$24/(MIN(B13,Inputs!$C$16)*L13+M13))/Inputs!$C$23,0)*Inputs!$C$23),"")</f>
        <v>1.5</v>
      </c>
      <c r="T13" s="6" t="n">
        <f>IFERROR(IF(J13&lt;&gt;"OK","",ROUNDUP(MAX(Plan!$E$14,Plan!$C$14*Inputs!$C$24/(MIN(B13,Inputs!$C$16,Plan!$F$14)*L13),(Plan!$C$14+Plan!$D$14)*Inputs!$C$24/(MIN(B13,Inputs!$C$16)*L13+M13))/Inputs!$C$23,0)*Inputs!$C$23),"")</f>
        <v>1.5</v>
      </c>
      <c r="U13" s="6" t="n">
        <f>IFERROR(IF(J13&lt;&gt;"OK","",ROUNDUP(MAX(Plan!$E$15,Plan!$C$15*Inputs!$C$24/(MIN(B13,Inputs!$C$16,Plan!$F$15)*L13),(Plan!$C$15+Plan!$D$15)*Inputs!$C$24/(MIN(B13,Inputs!$C$16)*L13+M13))/Inputs!$C$23,0)*Inputs!$C$23),"")</f>
        <v>2.5</v>
      </c>
      <c r="V13" s="6" t="n">
        <f>IFERROR(IF(J13&lt;&gt;"OK","",ROUNDUP(MAX(Plan!$E$16,Plan!$C$16*Inputs!$C$24/(MIN(B13,Inputs!$C$16,Plan!$F$16)*L13),(Plan!$C$16+Plan!$D$16)*Inputs!$C$24/(MIN(B13,Inputs!$C$16)*L13+M13))/Inputs!$C$23,0)*Inputs!$C$23),"")</f>
        <v>1.5</v>
      </c>
      <c r="W13" s="6" t="n">
        <f>IFERROR(IF(J13&lt;&gt;"OK","",ROUNDUP(MAX(Plan!$E$17,Plan!$C$17*Inputs!$C$24/(MIN(B13,Inputs!$C$16,Plan!$F$17)*L13),(Plan!$C$17+Plan!$D$17)*Inputs!$C$24/(MIN(B13,Inputs!$C$16)*L13+M13))/Inputs!$C$23,0)*Inputs!$C$23),"")</f>
        <v>2</v>
      </c>
    </row>
    <row r="14" ht="57" customHeight="1">
      <c r="A14" s="46" t="str">
        <f>IFERROR(D14&amp;" developers","")</f>
        <v>3 developers</v>
      </c>
      <c r="B14" s="26" t="n">
        <v>1</v>
      </c>
      <c r="C14" s="26" t="n">
        <v>2</v>
      </c>
      <c r="D14" s="44" t="n">
        <f>IFERROR(B14+C14,"")</f>
        <v>3</v>
      </c>
      <c r="E14" s="10" t="n">
        <f>IFERROR(IF(J14&lt;&gt;"OK","",SUM(O14:S14)+SUM(Plan!$G$9:$G$13)),"")</f>
        <v>12</v>
      </c>
      <c r="F14" s="10" t="n">
        <f>IFERROR(IF(J14&lt;&gt;"OK","",SUM(O14:W14)+SUM(Plan!$G$9:$G$17)),"")</f>
        <v>24.5</v>
      </c>
      <c r="G14" s="10" t="n">
        <f>IFERROR(IF(F14="","",F14+Inputs!$C$22),"")</f>
        <v>26.5</v>
      </c>
      <c r="H14" s="47" t="n">
        <f>IFERROR(IF(F14="","",F14*Inputs!$C$8*(B14*Inputs!$C$9+C14*Inputs!$C$10)),"")</f>
        <v>2940</v>
      </c>
      <c r="I14" s="18" t="inlineStr">
        <is>
          <t>More juniors may slow expert-critical work under the stated mentoring assumptions.</t>
        </is>
      </c>
      <c r="J14" s="6" t="str">
        <f>IFERROR(IF(OR(Inputs!$C$32&lt;&gt;"OK",B14&lt;1,B14&lt;&gt;INT(B14),C14&lt;0,C14&lt;&gt;INT(C14),K14&lt;=0,COUNTIF(Plan!$T$9:$T$17,"BLOCKED")&gt;0),"BLOCKED","OK"),"BLOCKED")</f>
        <v>OK</v>
      </c>
      <c r="K14" s="6" t="n">
        <f>IFERROR(MAX(0,B14*Inputs!$C$8*Inputs!$C$9*Inputs!$C$12-C14*Inputs!$C$10*Inputs!$C$15),"")</f>
        <v>22</v>
      </c>
      <c r="L14" s="6" t="n">
        <f>IFERROR(IF(B14&gt;0,K14/B14,0),"")</f>
        <v>22</v>
      </c>
      <c r="M14" s="6" t="n">
        <f>IFERROR(MIN(C14,Inputs!$C$17)*Inputs!$C$29,"")</f>
        <v>48</v>
      </c>
      <c r="N14" s="6" t="n">
        <f>IFERROR(MIN(C14,Inputs!$C$17)*Inputs!$C$30,"")</f>
        <v>24</v>
      </c>
      <c r="O14" s="6" t="n">
        <f>IFERROR(IF(J14&lt;&gt;"OK","",ROUNDUP(MAX(Plan!$E$9,Plan!$C$9*Inputs!$C$24/(MIN(B14,Inputs!$C$16,Plan!$F$9)*L14),(Plan!$C$9+Plan!$D$9)*Inputs!$C$24/(MIN(B14,Inputs!$C$16)*L14+N14))/Inputs!$C$23,0)*Inputs!$C$23),"")</f>
        <v>3</v>
      </c>
      <c r="P14" s="6" t="n">
        <f>IFERROR(IF(J14&lt;&gt;"OK","",ROUNDUP(MAX(Plan!$E$10,Plan!$C$10*Inputs!$C$24/(MIN(B14,Inputs!$C$16,Plan!$F$10)*L14),(Plan!$C$10+Plan!$D$10)*Inputs!$C$24/(MIN(B14,Inputs!$C$16)*L14+M14))/Inputs!$C$23,0)*Inputs!$C$23),"")</f>
        <v>3</v>
      </c>
      <c r="Q14" s="6" t="n">
        <f>IFERROR(IF(J14&lt;&gt;"OK","",ROUNDUP(MAX(Plan!$E$11,Plan!$C$11*Inputs!$C$24/(MIN(B14,Inputs!$C$16,Plan!$F$11)*L14),(Plan!$C$11+Plan!$D$11)*Inputs!$C$24/(MIN(B14,Inputs!$C$16)*L14+M14))/Inputs!$C$23,0)*Inputs!$C$23),"")</f>
        <v>1.5</v>
      </c>
      <c r="R14" s="6" t="n">
        <f>IFERROR(IF(J14&lt;&gt;"OK","",ROUNDUP(MAX(Plan!$E$12,Plan!$C$12*Inputs!$C$24/(MIN(B14,Inputs!$C$16,Plan!$F$12)*L14),(Plan!$C$12+Plan!$D$12)*Inputs!$C$24/(MIN(B14,Inputs!$C$16)*L14+M14))/Inputs!$C$23,0)*Inputs!$C$23),"")</f>
        <v>1.5</v>
      </c>
      <c r="S14" s="6" t="n">
        <f>IFERROR(IF(J14&lt;&gt;"OK","",ROUNDUP(MAX(Plan!$E$13,Plan!$C$13*Inputs!$C$24/(MIN(B14,Inputs!$C$16,Plan!$F$13)*L14),(Plan!$C$13+Plan!$D$13)*Inputs!$C$24/(MIN(B14,Inputs!$C$16)*L14+M14))/Inputs!$C$23,0)*Inputs!$C$23),"")</f>
        <v>3</v>
      </c>
      <c r="T14" s="6" t="n">
        <f>IFERROR(IF(J14&lt;&gt;"OK","",ROUNDUP(MAX(Plan!$E$14,Plan!$C$14*Inputs!$C$24/(MIN(B14,Inputs!$C$16,Plan!$F$14)*L14),(Plan!$C$14+Plan!$D$14)*Inputs!$C$24/(MIN(B14,Inputs!$C$16)*L14+M14))/Inputs!$C$23,0)*Inputs!$C$23),"")</f>
        <v>3</v>
      </c>
      <c r="U14" s="6" t="n">
        <f>IFERROR(IF(J14&lt;&gt;"OK","",ROUNDUP(MAX(Plan!$E$15,Plan!$C$15*Inputs!$C$24/(MIN(B14,Inputs!$C$16,Plan!$F$15)*L14),(Plan!$C$15+Plan!$D$15)*Inputs!$C$24/(MIN(B14,Inputs!$C$16)*L14+M14))/Inputs!$C$23,0)*Inputs!$C$23),"")</f>
        <v>4</v>
      </c>
      <c r="V14" s="6" t="n">
        <f>IFERROR(IF(J14&lt;&gt;"OK","",ROUNDUP(MAX(Plan!$E$16,Plan!$C$16*Inputs!$C$24/(MIN(B14,Inputs!$C$16,Plan!$F$16)*L14),(Plan!$C$16+Plan!$D$16)*Inputs!$C$24/(MIN(B14,Inputs!$C$16)*L14+M14))/Inputs!$C$23,0)*Inputs!$C$23),"")</f>
        <v>2.5</v>
      </c>
      <c r="W14" s="6" t="n">
        <f>IFERROR(IF(J14&lt;&gt;"OK","",ROUNDUP(MAX(Plan!$E$17,Plan!$C$17*Inputs!$C$24/(MIN(B14,Inputs!$C$16,Plan!$F$17)*L14),(Plan!$C$17+Plan!$D$17)*Inputs!$C$24/(MIN(B14,Inputs!$C$16)*L14+M14))/Inputs!$C$23,0)*Inputs!$C$23),"")</f>
        <v>3</v>
      </c>
    </row>
    <row r="15" ht="23" customHeight="1"/>
    <row r="16" ht="23" customHeight="1"/>
    <row r="17" ht="24" customHeight="1">
      <c r="A17" s="7" t="inlineStr">
        <is>
          <t>HOW TO READ THE COMPARISON</t>
        </is>
      </c>
    </row>
    <row r="18" ht="23" customHeight="1">
      <c r="A18" s="18" t="inlineStr">
        <is>
          <t>A staffing comparison, not a hiring recommendation. Additional people do not remove test gates or prove business value. All experienced contributors must have the required skills.</t>
        </is>
      </c>
    </row>
    <row r="19" ht="23" customHeight="1"/>
    <row r="20" ht="23" customHeight="1"/>
    <row r="21" ht="23" customHeight="1">
      <c r="A21" s="3" t="inlineStr">
        <is>
          <t>To model 2 -&gt; 3 developers in the active plan: set Inputs!C5 to 3 and leave Inputs!C6 at 1. To add a junior instead, set both total developers and junior count. Review the role mix, not only the total.</t>
        </is>
      </c>
    </row>
    <row r="22" ht="23" customHeight="1"/>
    <row r="23" ht="23" customHeight="1"/>
    <row r="24" ht="23" customHeight="1">
      <c r="A24" s="22" t="inlineStr">
        <is>
          <t>The model applies one team from the planning start. It does not model mid-project joining dates or actual progress. For an in-flight reforecast, save a baseline copy and review remaining work and capacity with the senior lead.</t>
        </is>
      </c>
    </row>
    <row r="25" ht="23" customHeight="1"/>
    <row r="26" ht="23" customHeight="1"/>
    <row r="27" ht="23" customHeight="1"/>
    <row r="28" ht="23" customHeight="1"/>
    <row r="29" ht="23" customHeight="1"/>
    <row r="30" ht="23" customHeight="1"/>
    <row r="31" ht="23" customHeight="1"/>
    <row r="32" ht="23" customHeight="1"/>
    <row r="33" ht="23" customHeight="1"/>
    <row r="34" ht="23" customHeight="1"/>
    <row r="35" ht="23" customHeight="1"/>
    <row r="36" ht="23" customHeight="1"/>
    <row r="37" ht="23" customHeight="1"/>
    <row r="38" ht="23" customHeight="1"/>
    <row r="39" ht="23" customHeight="1"/>
    <row r="40" ht="23" customHeight="1"/>
    <row r="41" ht="23" customHeight="1"/>
    <row r="42" ht="23" customHeight="1"/>
    <row r="43" ht="23" customHeight="1"/>
    <row r="44" ht="23" customHeight="1"/>
    <row r="45" ht="23" customHeight="1"/>
    <row r="46" ht="23" customHeight="1"/>
    <row r="47" ht="23"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sheetData>
  <mergeCells count="7">
    <mergeCell ref="A5:I6"/>
    <mergeCell ref="A18:I19"/>
    <mergeCell ref="A17:I17"/>
    <mergeCell ref="A1:I2"/>
    <mergeCell ref="A21:I22"/>
    <mergeCell ref="A3:I3"/>
    <mergeCell ref="A24:I25"/>
  </mergeCells>
  <dataValidations count="10">
    <dataValidation sqref="B10" showDropDown="0" showInputMessage="0" showErrorMessage="1" allowBlank="0" errorTitle="Check this planning input" error="Enter a value between 1 and 20." type="whole" errorStyle="stop" operator="between">
      <formula1>1</formula1>
      <formula2>20</formula2>
    </dataValidation>
    <dataValidation sqref="C10" showDropDown="0" showInputMessage="0" showErrorMessage="1" allowBlank="0" errorTitle="Check this planning input" error="Enter a value between 0 and 20." type="whole" errorStyle="stop" operator="between">
      <formula1>0</formula1>
      <formula2>20</formula2>
    </dataValidation>
    <dataValidation sqref="B11" showDropDown="0" showInputMessage="0" showErrorMessage="1" allowBlank="0" errorTitle="Check this planning input" error="Enter a value between 1 and 20." type="whole" errorStyle="stop" operator="between">
      <formula1>1</formula1>
      <formula2>20</formula2>
    </dataValidation>
    <dataValidation sqref="C11" showDropDown="0" showInputMessage="0" showErrorMessage="1" allowBlank="0" errorTitle="Check this planning input" error="Enter a value between 0 and 20." type="whole" errorStyle="stop" operator="between">
      <formula1>0</formula1>
      <formula2>20</formula2>
    </dataValidation>
    <dataValidation sqref="B12" showDropDown="0" showInputMessage="0" showErrorMessage="1" allowBlank="0" errorTitle="Check this planning input" error="Enter a value between 1 and 20." type="whole" errorStyle="stop" operator="between">
      <formula1>1</formula1>
      <formula2>20</formula2>
    </dataValidation>
    <dataValidation sqref="C12" showDropDown="0" showInputMessage="0" showErrorMessage="1" allowBlank="0" errorTitle="Check this planning input" error="Enter a value between 0 and 20." type="whole" errorStyle="stop" operator="between">
      <formula1>0</formula1>
      <formula2>20</formula2>
    </dataValidation>
    <dataValidation sqref="B13" showDropDown="0" showInputMessage="0" showErrorMessage="1" allowBlank="0" errorTitle="Check this planning input" error="Enter a value between 1 and 20." type="whole" errorStyle="stop" operator="between">
      <formula1>1</formula1>
      <formula2>20</formula2>
    </dataValidation>
    <dataValidation sqref="C13" showDropDown="0" showInputMessage="0" showErrorMessage="1" allowBlank="0" errorTitle="Check this planning input" error="Enter a value between 0 and 20." type="whole" errorStyle="stop" operator="between">
      <formula1>0</formula1>
      <formula2>20</formula2>
    </dataValidation>
    <dataValidation sqref="B14" showDropDown="0" showInputMessage="0" showErrorMessage="1" allowBlank="0" errorTitle="Check this planning input" error="Enter a value between 1 and 20." type="whole" errorStyle="stop" operator="between">
      <formula1>1</formula1>
      <formula2>20</formula2>
    </dataValidation>
    <dataValidation sqref="C14" showDropDown="0" showInputMessage="0" showErrorMessage="1" allowBlank="0" errorTitle="Check this planning input" error="Enter a value between 0 and 20." type="whole" errorStyle="stop" operator="between">
      <formula1>0</formula1>
      <formula2>20</formula2>
    </dataValidation>
  </dataValidations>
  <printOptions horizontalCentered="1"/>
  <pageMargins left="0.3" right="0.3" top="0.4" bottom="0.4"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48"/>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43" customWidth="1" min="1" max="1"/>
    <col width="3" customWidth="1" min="2" max="2"/>
    <col width="20" customWidth="1" min="3" max="3"/>
    <col width="3" customWidth="1" min="4" max="4"/>
    <col width="47" customWidth="1" min="5" max="5"/>
    <col width="10" customWidth="1" min="6" max="6"/>
  </cols>
  <sheetData>
    <row r="1" ht="20" customHeight="1">
      <c r="A1" s="57" t="inlineStr">
        <is>
          <t>Business case | cost and value</t>
        </is>
      </c>
    </row>
    <row r="2" ht="20" customHeight="1"/>
    <row r="3" ht="33" customHeight="1">
      <c r="A3" s="58" t="inlineStr">
        <is>
          <t>Optional inputs. Blank means not quantified, not free. Costs and savings are forecasts, not approval or realized results.</t>
        </is>
      </c>
    </row>
    <row r="4" ht="25" customHeight="1">
      <c r="A4" s="59" t="inlineStr">
        <is>
          <t>1  FUNDING ENVELOPE - ENTER APPROVED RATES AND COST ASSUMPTIONS</t>
        </is>
      </c>
    </row>
    <row r="5" ht="28" customHeight="1">
      <c r="A5" s="60" t="inlineStr">
        <is>
          <t>Currency / unit</t>
        </is>
      </c>
      <c r="C5" s="24" t="n"/>
      <c r="E5" s="58" t="inlineStr">
        <is>
          <t>Use the same currency for every monetary input. No automatic currency conversion.</t>
        </is>
      </c>
    </row>
    <row r="6" ht="28" customHeight="1">
      <c r="A6" s="60" t="inlineStr">
        <is>
          <t>Experienced cost / allocated hour</t>
        </is>
      </c>
      <c r="C6" s="61" t="n"/>
      <c r="E6" s="58" t="inlineStr">
        <is>
          <t>Fully loaded internal rate or agreed billing rate. Include the cost basis.</t>
        </is>
      </c>
    </row>
    <row r="7" ht="28" customHeight="1">
      <c r="A7" s="60" t="inlineStr">
        <is>
          <t>Junior cost / allocated hour</t>
        </is>
      </c>
      <c r="C7" s="61" t="n"/>
      <c r="E7" s="58" t="inlineStr">
        <is>
          <t>Enter 0 only if no juniors are allocated; otherwise use the approved rate.</t>
        </is>
      </c>
    </row>
    <row r="8" ht="28" customHeight="1">
      <c r="A8" s="60" t="inlineStr">
        <is>
          <t>Recovery non-labour cap</t>
        </is>
      </c>
      <c r="C8" s="61" t="n"/>
      <c r="E8" s="58" t="inlineStr">
        <is>
          <t>Includes recovery infrastructure, access or authorized outside support. Enter 0 explicitly if none.</t>
        </is>
      </c>
    </row>
    <row r="9" ht="28" customHeight="1">
      <c r="A9" s="60" t="inlineStr">
        <is>
          <t>Full-pilot non-labour cap</t>
        </is>
      </c>
      <c r="C9" s="61" t="n"/>
      <c r="E9" s="58" t="inlineStr">
        <is>
          <t>Includes the recovery non-labour amount; do not add recovery twice.</t>
        </is>
      </c>
    </row>
    <row r="10" ht="28" customHeight="1">
      <c r="A10" s="60" t="inlineStr">
        <is>
          <t>Reserve non-labour cap</t>
        </is>
      </c>
      <c r="C10" s="61" t="n"/>
      <c r="E10" s="58" t="inlineStr">
        <is>
          <t>Additional cost only if reserve is released. It is not automatically authorized.</t>
        </is>
      </c>
    </row>
    <row r="11" ht="28" customHeight="1">
      <c r="A11" s="60" t="inlineStr">
        <is>
          <t>Budget input check</t>
        </is>
      </c>
      <c r="C11" s="62" t="str">
        <f>IFERROR(IF(OR(C5="",COUNT(C6:C10)&lt;&gt;5),"NOT SET",IF(OR(C6&lt;=0,C7&lt;0,AND(Inputs!C6&gt;0,C7&lt;=0),MIN(C8:C10)&lt;0,C9&lt;C8),"INVALID","SET")),"INVALID")</f>
        <v>NOT SET</v>
      </c>
      <c r="E11" s="58" t="inlineStr">
        <is>
          <t>Not SET? Complete or correct the blue fields; schedule calculations remain independent.</t>
        </is>
      </c>
    </row>
    <row r="12" ht="28" customHeight="1">
      <c r="A12" s="60" t="inlineStr">
        <is>
          <t>Allocated labour cost / week</t>
        </is>
      </c>
      <c r="C12" s="63" t="str">
        <f>IFERROR(IF(OR(C11&lt;&gt;"SET",Inputs!C32&lt;&gt;"OK"),"",Inputs!C8*(Inputs!C7*Inputs!C9*C6+Inputs!C6*Inputs!C10*C7)),"")</f>
      </c>
      <c r="E12" s="58" t="inlineStr">
        <is>
          <t>Uses all allocated hours, including mentoring/support; not just accepted-work capacity.</t>
        </is>
      </c>
    </row>
    <row r="13" ht="12" customHeight="1">
      <c r="A13" s="60" t="n"/>
    </row>
    <row r="14" ht="25" customHeight="1">
      <c r="A14" s="59" t="inlineStr">
        <is>
          <t>CALCULATED COST - CURRENT TEAM AND FORECAST</t>
        </is>
      </c>
    </row>
    <row r="15" ht="28" customHeight="1">
      <c r="A15" s="60" t="n"/>
    </row>
    <row r="16" ht="28" customHeight="1">
      <c r="A16" s="60" t="inlineStr">
        <is>
          <t>Recovery phase</t>
        </is>
      </c>
      <c r="C16" s="63" t="str">
        <f>IFERROR(IF(OR(NOT(ISNUMBER(C12)),Plan!I20=""),"",Plan!I9*C12+C8),"")</f>
      </c>
      <c r="E16" s="58" t="inlineStr">
        <is>
          <t>The immediate approval tranche, including any pre-phase waits entered in Plan.</t>
        </is>
      </c>
    </row>
    <row r="17" ht="28" customHeight="1">
      <c r="A17" s="60" t="inlineStr">
        <is>
          <t>Full pilot, excluding reserve</t>
        </is>
      </c>
      <c r="C17" s="63" t="str">
        <f>IFERROR(IF(OR(NOT(ISNUMBER(C12)),Plan!I20=""),"",Plan!I17*C12+C9),"")</f>
      </c>
      <c r="E17" s="58" t="inlineStr">
        <is>
          <t>Includes recovery. Assumes the team remains allocated through all phases and waits.</t>
        </is>
      </c>
    </row>
    <row r="18" ht="28" customHeight="1">
      <c r="A18" s="60" t="inlineStr">
        <is>
          <t>Additional reserve</t>
        </is>
      </c>
      <c r="C18" s="63" t="str">
        <f>IFERROR(IF(OR(NOT(ISNUMBER(C12)),Plan!I20=""),"",Inputs!C22*C12+C10),"")</f>
      </c>
      <c r="E18" s="58" t="inlineStr">
        <is>
          <t>Only for sponsor-approved delays or acceptance defects; not additional features.</t>
        </is>
      </c>
    </row>
    <row r="19" ht="28" customHeight="1">
      <c r="A19" s="60" t="inlineStr">
        <is>
          <t>Maximum planning envelope</t>
        </is>
      </c>
      <c r="C19" s="63" t="str">
        <f>IFERROR(IF(COUNT(C17:C18)&lt;&gt;2,"",SUM(C17:C18)),"")</f>
      </c>
      <c r="E19" s="58" t="inlineStr">
        <is>
          <t>Full pilot plus reserve. This is a planning ceiling, not a purchase authorization.</t>
        </is>
      </c>
    </row>
    <row r="20" ht="10" customHeight="1">
      <c r="A20" s="60" t="n"/>
    </row>
    <row r="21" ht="28" customHeight="1">
      <c r="A21" s="64" t="inlineStr">
        <is>
          <t>Cost forecasts assume constant rates and the selected team from the planning start. No hidden implementer is included. Any external review or equipment must be priced explicitly. Monetary payback is not calculated from unpriced effort savings.</t>
        </is>
      </c>
    </row>
    <row r="22" ht="28" customHeight="1"/>
    <row r="23" ht="28" customHeight="1">
      <c r="A23" s="60" t="n"/>
    </row>
    <row r="24" ht="25" customHeight="1">
      <c r="A24" s="59" t="inlineStr">
        <is>
          <t>2  REUSE VALUE - COMPARABLE EFFORT, SAME SCOPE AND QUALITY</t>
        </is>
      </c>
    </row>
    <row r="25" ht="28" customHeight="1">
      <c r="A25" s="60" t="inlineStr">
        <is>
          <t>One later integration without reuse (h)</t>
        </is>
      </c>
      <c r="C25" s="61" t="n"/>
      <c r="E25" s="58" t="inlineStr">
        <is>
          <t>Include implementation, review, integration and tests for the agreed scope.</t>
        </is>
      </c>
    </row>
    <row r="26" ht="28" customHeight="1">
      <c r="A26" s="60" t="inlineStr">
        <is>
          <t>One later integration with reuse (h)</t>
        </is>
      </c>
      <c r="C26" s="61" t="n"/>
      <c r="E26" s="58" t="inlineStr">
        <is>
          <t>Use the same accounting and quality obligations as the no-reuse baseline.</t>
        </is>
      </c>
    </row>
    <row r="27" ht="28" customHeight="1">
      <c r="A27" s="60" t="inlineStr">
        <is>
          <t>Extra one-time reuse investment (h)</t>
        </is>
      </c>
      <c r="C27" s="61" t="n"/>
      <c r="E27" s="58" t="inlineStr">
        <is>
          <t>Only the incremental work versus the one-off approach; not all project hours.</t>
        </is>
      </c>
    </row>
    <row r="28" ht="28" customHeight="1">
      <c r="A28" s="60" t="inlineStr">
        <is>
          <t>Additional maintenance in period (h)</t>
        </is>
      </c>
      <c r="C28" s="61" t="n"/>
      <c r="E28" s="58" t="inlineStr">
        <is>
          <t>Total added maintenance across the defined comparison period, not per integration.</t>
        </is>
      </c>
    </row>
    <row r="29" ht="28" customHeight="1">
      <c r="A29" s="60" t="inlineStr">
        <is>
          <t>Expected later integrations (count)</t>
        </is>
      </c>
      <c r="C29" s="61" t="n"/>
      <c r="E29" s="58" t="inlineStr">
        <is>
          <t>Whole number, excluding the initial pilot. This is an assumption about adoption.</t>
        </is>
      </c>
    </row>
    <row r="30" ht="43" customHeight="1">
      <c r="A30" s="60" t="inlineStr">
        <is>
          <t>Evidence / comparison period</t>
        </is>
      </c>
      <c r="C30" s="24" t="n"/>
      <c r="E30" s="58" t="inlineStr">
        <is>
          <t>Record source estimates or measured work, scope, period and reviewer. Never label forecasts as realized savings.</t>
        </is>
      </c>
    </row>
    <row r="31" ht="28" customHeight="1">
      <c r="A31" s="60" t="inlineStr">
        <is>
          <t>Value input check</t>
        </is>
      </c>
      <c r="C31" s="62" t="str">
        <f>IFERROR(IF(OR(COUNT(C25:C29)&lt;&gt;5,C30=""),"NOT QUANTIFIED",IF(OR(C25&lt;=0,MIN(C26:C29)&lt;0,C29&lt;&gt;INT(C29)),"INVALID","SET")),"INVALID")</f>
        <v>NOT QUANTIFIED</v>
      </c>
      <c r="E31" s="58" t="inlineStr">
        <is>
          <t>Complete all inputs and the evidence/period note before using the value forecast.</t>
        </is>
      </c>
    </row>
    <row r="32" ht="28" customHeight="1">
      <c r="A32" s="60" t="n"/>
    </row>
    <row r="33" ht="28" customHeight="1">
      <c r="A33" s="60" t="inlineStr">
        <is>
          <t>Time saved per later integration (h)</t>
        </is>
      </c>
      <c r="C33" s="63" t="str">
        <f>IFERROR(IF(C31&lt;&gt;"SET","",C25-C26),"")</f>
      </c>
      <c r="E33" s="58" t="inlineStr">
        <is>
          <t>A zero/negative result gives no positive effort-saving case.</t>
        </is>
      </c>
    </row>
    <row r="34" ht="28" customHeight="1">
      <c r="A34" s="60" t="inlineStr">
        <is>
          <t>Break-even later integrations</t>
        </is>
      </c>
      <c r="C34" s="65" t="str">
        <f>IFERROR(IF(C31&lt;&gt;"SET","",IF(C33&lt;=0,"NO PAYBACK",ROUNDUP((C27+C28)/C33,0))),"")</f>
      </c>
      <c r="E34" s="58" t="inlineStr">
        <is>
          <t>Includes extra setup and maintenance. Assumes the same saving for each later integration.</t>
        </is>
      </c>
    </row>
    <row r="35" ht="28" customHeight="1">
      <c r="A35" s="60" t="inlineStr">
        <is>
          <t>Forecast net effort saved (h)</t>
        </is>
      </c>
      <c r="C35" s="63" t="str">
        <f>IFERROR(IF(C31&lt;&gt;"SET","",C29*C33-C27-C28),"")</f>
      </c>
      <c r="E35" s="58" t="inlineStr">
        <is>
          <t>Positive = fewer hours under these assumptions. Negative = extra effort; neither is realized cash.</t>
        </is>
      </c>
    </row>
    <row r="36" ht="28" customHeight="1">
      <c r="A36" s="60" t="n"/>
    </row>
    <row r="37" ht="28" customHeight="1">
      <c r="A37" s="64" t="inlineStr">
        <is>
          <t>Illustration only (not the live inputs): 80 h without reuse; 40 h with reuse; 160 h extra setup; 40 h added maintenance. Break-even is 5 later integrations. The pilot itself does not prove those values. Compare like-for-like effort; do not mix delivery-capacity hours with nominal staffed hours.</t>
        </is>
      </c>
    </row>
    <row r="38" ht="28" customHeight="1"/>
    <row r="39" ht="28" customHeight="1"/>
    <row r="40" ht="28" customHeight="1">
      <c r="A40" s="60" t="n"/>
    </row>
    <row r="41" ht="28" customHeight="1">
      <c r="A41" s="58" t="inlineStr">
        <is>
          <t>Source: prior DAR and dynamic plan for scope/capacity; user-entered rates and comparable effort for cost/value. New business-case formulas are proposed management checks, not measured outcomes. Use SDV_Vehicle_Status_Approval_Report_EN.md / .docx for the approval narrative.</t>
        </is>
      </c>
    </row>
    <row r="42" ht="28" customHeight="1"/>
    <row r="43" ht="28" customHeight="1">
      <c r="A43" s="60" t="n"/>
    </row>
    <row r="44" ht="28" customHeight="1">
      <c r="A44" s="60" t="n"/>
    </row>
    <row r="45" ht="28" customHeight="1">
      <c r="A45" s="60" t="n"/>
    </row>
    <row r="46" ht="28" customHeight="1">
      <c r="A46" s="60" t="n"/>
    </row>
    <row r="47" ht="28" customHeight="1">
      <c r="A47" s="60" t="n"/>
    </row>
    <row r="48" ht="28" customHeight="1">
      <c r="A48" s="60" t="n"/>
    </row>
  </sheetData>
  <mergeCells count="30">
    <mergeCell ref="E12:F12"/>
    <mergeCell ref="E33:F33"/>
    <mergeCell ref="E5:F5"/>
    <mergeCell ref="A3:F3"/>
    <mergeCell ref="E17:F17"/>
    <mergeCell ref="E8:F8"/>
    <mergeCell ref="E35:F35"/>
    <mergeCell ref="A37:F39"/>
    <mergeCell ref="E29:F29"/>
    <mergeCell ref="E10:F10"/>
    <mergeCell ref="A14:F14"/>
    <mergeCell ref="E19:F19"/>
    <mergeCell ref="A1:F2"/>
    <mergeCell ref="E28:F28"/>
    <mergeCell ref="A4:F4"/>
    <mergeCell ref="E9:F9"/>
    <mergeCell ref="E31:F31"/>
    <mergeCell ref="E34:F34"/>
    <mergeCell ref="A41:F42"/>
    <mergeCell ref="E6:F6"/>
    <mergeCell ref="E30:F30"/>
    <mergeCell ref="E11:F11"/>
    <mergeCell ref="E27:F27"/>
    <mergeCell ref="E26:F26"/>
    <mergeCell ref="A24:F24"/>
    <mergeCell ref="E16:F16"/>
    <mergeCell ref="E7:F7"/>
    <mergeCell ref="E25:F25"/>
    <mergeCell ref="A21:F22"/>
    <mergeCell ref="E18:F18"/>
  </mergeCells>
  <dataValidations count="10">
    <dataValidation sqref="C6" showDropDown="0" showInputMessage="0" showErrorMessage="1" allowBlank="1" errorTitle="Use a non-negative number" error="Enter a number &gt;= 0, or leave blank." type="decimal" errorStyle="stop" operator="greaterThanOrEqual">
      <formula1>0</formula1>
    </dataValidation>
    <dataValidation sqref="C7" showDropDown="0" showInputMessage="0" showErrorMessage="1" allowBlank="1" errorTitle="Use a non-negative number" error="Enter a number &gt;= 0, or leave blank." type="decimal" errorStyle="stop" operator="greaterThanOrEqual">
      <formula1>0</formula1>
    </dataValidation>
    <dataValidation sqref="C8" showDropDown="0" showInputMessage="0" showErrorMessage="1" allowBlank="1" errorTitle="Use a non-negative number" error="Enter a number &gt;= 0, or leave blank." type="decimal" errorStyle="stop" operator="greaterThanOrEqual">
      <formula1>0</formula1>
    </dataValidation>
    <dataValidation sqref="C9" showDropDown="0" showInputMessage="0" showErrorMessage="1" allowBlank="1" errorTitle="Use a non-negative number" error="Enter a number &gt;= 0, or leave blank." type="decimal" errorStyle="stop" operator="greaterThanOrEqual">
      <formula1>0</formula1>
    </dataValidation>
    <dataValidation sqref="C10" showDropDown="0" showInputMessage="0" showErrorMessage="1" allowBlank="1" errorTitle="Use a non-negative number" error="Enter a number &gt;= 0, or leave blank." type="decimal" errorStyle="stop" operator="greaterThanOrEqual">
      <formula1>0</formula1>
    </dataValidation>
    <dataValidation sqref="C25" showDropDown="0" showInputMessage="0" showErrorMessage="1" allowBlank="1" errorTitle="Use a non-negative number" error="Enter a number &gt;= 0, or leave blank." type="decimal" errorStyle="stop" operator="greaterThanOrEqual">
      <formula1>0</formula1>
    </dataValidation>
    <dataValidation sqref="C26" showDropDown="0" showInputMessage="0" showErrorMessage="1" allowBlank="1" errorTitle="Use a non-negative number" error="Enter a number &gt;= 0, or leave blank." type="decimal" errorStyle="stop" operator="greaterThanOrEqual">
      <formula1>0</formula1>
    </dataValidation>
    <dataValidation sqref="C27" showDropDown="0" showInputMessage="0" showErrorMessage="1" allowBlank="1" errorTitle="Use a non-negative number" error="Enter a number &gt;= 0, or leave blank." type="decimal" errorStyle="stop" operator="greaterThanOrEqual">
      <formula1>0</formula1>
    </dataValidation>
    <dataValidation sqref="C28" showDropDown="0" showInputMessage="0" showErrorMessage="1" allowBlank="1" errorTitle="Use a non-negative number" error="Enter a number &gt;= 0, or leave blank." type="decimal" errorStyle="stop" operator="greaterThanOrEqual">
      <formula1>0</formula1>
    </dataValidation>
    <dataValidation sqref="C29" showDropDown="0" showInputMessage="0" showErrorMessage="1" allowBlank="1" errorTitle="Use a non-negative number" error="Enter a number &gt;= 0, or leave blank." type="decimal" errorStyle="stop" operator="greaterThanOrEqual">
      <formula1>0</formula1>
    </dataValidation>
  </dataValidations>
  <printOptions horizontalCentered="1"/>
  <pageMargins left="0.75" right="0.75" top="1" bottom="1" header="0.5" footer="0.5"/>
  <pageSetup orientation="portrait" paperSize="9" fitToHeight="0" fitToWidth="1"/>
  <rowBreaks count="1" manualBreakCount="1">
    <brk id="23" min="0" max="16383" man="1"/>
  </rowBreaks>
  <legacyDrawing xmlns:r="http://schemas.openxmlformats.org/officeDocument/2006/relationships" r:id="anysvml"/>
</worksheet>
</file>

<file path=xl/worksheets/sheet6.xml><?xml version="1.0" encoding="utf-8"?>
<worksheet xmlns="http://schemas.openxmlformats.org/spreadsheetml/2006/main">
  <sheetPr>
    <tabColor rgb="0017364D"/>
    <outlinePr summaryBelow="1" summaryRight="1"/>
    <pageSetUpPr fitToPage="1"/>
  </sheetPr>
  <dimension ref="A1:F49"/>
  <sheetViews>
    <sheetView showGridLines="0" zoomScale="90" workbookViewId="0">
      <pane ySplit="4" topLeftCell="A5" activePane="bottomLeft" state="frozen"/>
      <selection pane="bottomLeft" activeCell="A1" sqref="A1"/>
    </sheetView>
  </sheetViews>
  <sheetFormatPr baseColWidth="8" defaultRowHeight="15"/>
  <cols>
    <col width="28" customWidth="1" min="1" max="1"/>
    <col width="24" customWidth="1" min="2" max="2"/>
    <col width="24" customWidth="1" min="3" max="3"/>
    <col width="24" customWidth="1" min="4" max="4"/>
    <col width="24" customWidth="1" min="5" max="5"/>
    <col width="16" customWidth="1" min="6" max="6"/>
  </cols>
  <sheetData>
    <row r="1" ht="20" customHeight="1">
      <c r="A1" s="1" t="inlineStr">
        <is>
          <t>Read me | model and sources</t>
        </is>
      </c>
    </row>
    <row r="2" ht="20" customHeight="1"/>
    <row r="3" ht="30" customHeight="1">
      <c r="A3" s="2" t="inlineStr">
        <is>
          <t>The workbook is the single source for changing resources, forecast dates and the management report.</t>
        </is>
      </c>
    </row>
    <row r="4" ht="23" customHeight="1"/>
    <row r="5" ht="24" customHeight="1">
      <c r="A5" s="7" t="inlineStr">
        <is>
          <t>USE THE WORKBOOK</t>
        </is>
      </c>
    </row>
    <row r="6" ht="24" customHeight="1">
      <c r="A6" s="9" t="inlineStr">
        <is>
          <t>Change the team</t>
        </is>
      </c>
      <c r="B6" s="18" t="inlineStr">
        <is>
          <t>Inputs!C5 = total developers; C6 = juniors. Experienced count is calculated. Example: 3 total and 1 junior means 2 experienced developers.</t>
        </is>
      </c>
    </row>
    <row r="7" ht="24" customHeight="1"/>
    <row r="8" ht="24" customHeight="1">
      <c r="A8" s="9" t="inlineStr">
        <is>
          <t>Review capacity</t>
        </is>
      </c>
      <c r="B8" s="18" t="inlineStr">
        <is>
          <t>Check allocation, accepted-work rates and mentoring. Defaults reproduce the v1.0 assumptions: 28 experienced hours/week; junior 12 in recovery and 24 after recovery.</t>
        </is>
      </c>
    </row>
    <row r="9" ht="24" customHeight="1"/>
    <row r="10" ht="24" customHeight="1">
      <c r="A10" s="9" t="inlineStr">
        <is>
          <t>Review forecast</t>
        </is>
      </c>
      <c r="B10" s="18" t="inlineStr">
        <is>
          <t>Report shows milestones, schedule variance and allocated hours. Plan shows phase calculations. Scenarios compares role mixes without changing the active plan.</t>
        </is>
      </c>
    </row>
    <row r="11" ht="24" customHeight="1"/>
    <row r="12" ht="24" customHeight="1">
      <c r="A12" s="9" t="inlineStr">
        <is>
          <t>Edit the estimate</t>
        </is>
      </c>
      <c r="B12" s="18" t="inlineStr">
        <is>
          <t>Plan blue cells change work, minimum duration, critical lead slots and waits. Inputs!C24 applies one work multiplier. Save a baseline copy before changing estimates.</t>
        </is>
      </c>
    </row>
    <row r="13" ht="24" customHeight="1"/>
    <row r="14" ht="24" customHeight="1">
      <c r="A14" s="9" t="inlineStr">
        <is>
          <t>Share the report</t>
        </is>
      </c>
      <c r="B14" s="18" t="inlineStr">
        <is>
          <t>Use Report with the companion approval report. Excel updates without macros. Word/Markdown explain the stable idea, examples, risks and approval criteria; they are not rewritten when inputs change.</t>
        </is>
      </c>
    </row>
    <row r="15" ht="24" customHeight="1"/>
    <row r="16" ht="23" customHeight="1"/>
    <row r="17" ht="24" customHeight="1">
      <c r="A17" s="7" t="inlineStr">
        <is>
          <t>WHAT THE MODEL DOES</t>
        </is>
      </c>
    </row>
    <row r="18" ht="24" customHeight="1">
      <c r="A18" s="9" t="inlineStr">
        <is>
          <t>Capacity</t>
        </is>
      </c>
      <c r="B18" s="18" t="inlineStr">
        <is>
          <t>Experienced pool = people x paid hours x allocation x usable-time rate minus allocated-junior mentoring. Split mentoring evenly across the experienced pool.</t>
        </is>
      </c>
    </row>
    <row r="19" ht="24" customHeight="1"/>
    <row r="20" ht="24" customHeight="1">
      <c r="A20" s="9" t="inlineStr">
        <is>
          <t>Work assignment</t>
        </is>
      </c>
      <c r="B20" s="18" t="inlineStr">
        <is>
          <t>Expert-only work cannot be delegated to juniors. Support work may be done by juniors or spare experienced capacity; total work is counted once.</t>
        </is>
      </c>
    </row>
    <row r="21" ht="24" customHeight="1"/>
    <row r="22" ht="24" customHeight="1">
      <c r="A22" s="9" t="inlineStr">
        <is>
          <t>Duration</t>
        </is>
      </c>
      <c r="B22" s="18" t="inlineStr">
        <is>
          <t>For each phase, take MAX(minimum weeks, expert work / expert critical capacity, all work / combined capacity). Multiply work by the estimate factor and round up to the selected step.</t>
        </is>
      </c>
    </row>
    <row r="23" ht="24" customHeight="1"/>
    <row r="24" ht="24" customHeight="1">
      <c r="A24" s="9" t="inlineStr">
        <is>
          <t>Sequence and waits</t>
        </is>
      </c>
      <c r="B24" s="18" t="inlineStr">
        <is>
          <t>Phases are sequential. Roles may work together within a phase. Waiting weeks are added before that phase; the team is assumed allocated through waits and reserve.</t>
        </is>
      </c>
    </row>
    <row r="25" ht="24" customHeight="1"/>
    <row r="26" ht="24" customHeight="1">
      <c r="A26" s="9" t="inlineStr">
        <is>
          <t>Scope and limits</t>
        </is>
      </c>
      <c r="B26" s="18" t="inlineStr">
        <is>
          <t>No automatic initiative switch or test pass. No holiday calendar, individual join dates, actual-progress tracking, overtime or independent assurance. Leave start blank until agreed. Review parallel-work assumptions for larger teams.</t>
        </is>
      </c>
    </row>
    <row r="27" ht="24" customHeight="1"/>
    <row r="28" ht="23" customHeight="1"/>
    <row r="29" ht="24" customHeight="1">
      <c r="A29" s="7" t="inlineStr">
        <is>
          <t>TRACEABILITY AND APPROVAL</t>
        </is>
      </c>
    </row>
    <row r="30" ht="24" customHeight="1">
      <c r="A30" s="9" t="inlineStr">
        <is>
          <t>Planning source [P1]</t>
        </is>
      </c>
      <c r="B30" s="18" t="inlineStr">
        <is>
          <t>SDV_Telematics_Vehicle_Status_AAOS_First_Plan_Revision_EN.md: AAOS-first baseline, core separation, mapping/cloud substitutions, S1-S6 and claim limits.</t>
        </is>
      </c>
    </row>
    <row r="31" ht="24" customHeight="1"/>
    <row r="32" ht="24" customHeight="1">
      <c r="A32" s="9" t="inlineStr">
        <is>
          <t>Resource source [P2]</t>
        </is>
      </c>
      <c r="B32" s="18" t="inlineStr">
        <is>
          <t>SDV_Vehicle_Status_DAR_EN_v1_0_One_Senior_One_Junior.md: sections 20 and 20B supply the capacity assumptions and 476 expert / 352 junior-work hours. Sections 2A-3A supply the Automotive alternatives.</t>
        </is>
      </c>
    </row>
    <row r="33" ht="24" customHeight="1"/>
    <row r="34" ht="24" customHeight="1">
      <c r="A34" s="9" t="inlineStr">
        <is>
          <t>Model additions</t>
        </is>
      </c>
      <c r="B34" s="18" t="inlineStr">
        <is>
          <t>Phase W5-W6 split equally for the Gate B checkpoint. Junior work becomes a shared-work pool. Phase floors, contributor caps, rounding, scenario staffing and wait controls are editable modeling assumptions, not measured facts.</t>
        </is>
      </c>
    </row>
    <row r="35" ht="24" customHeight="1"/>
    <row r="36" ht="24" customHeight="1">
      <c r="A36" s="9" t="inlineStr">
        <is>
          <t>Baseline reconciliation</t>
        </is>
      </c>
      <c r="B36" s="18" t="inlineStr">
        <is>
          <t>The original workload is preserved: 476 expert-only + 352 support hours. Default forecasts remain recovery W2, core W5, demo W8, full pilot W18 and reserve W20. Dates now remain blank until a start is entered.</t>
        </is>
      </c>
    </row>
    <row r="37" ht="24" customHeight="1"/>
    <row r="38" ht="24" customHeight="1">
      <c r="A38" s="9" t="inlineStr">
        <is>
          <t>Approvals still needed</t>
        </is>
      </c>
      <c r="B38" s="18" t="inlineStr">
        <is>
          <t>Sponsor confirms objective, people, start, capacity and funding. Senior validates workload, skills, semantics, security and gate evidence. Re-estimate after recovery; record accepted deviations.</t>
        </is>
      </c>
    </row>
    <row r="39" ht="24" customHeight="1"/>
    <row r="40" ht="23" customHeight="1"/>
    <row r="41" ht="24" customHeight="1">
      <c r="A41" s="59" t="inlineStr">
        <is>
          <t>OPTIONAL BUSINESS CASE AND APPROVAL</t>
        </is>
      </c>
    </row>
    <row r="42" ht="24" customHeight="1">
      <c r="A42" s="9" t="inlineStr">
        <is>
          <t>Budget</t>
        </is>
      </c>
      <c r="B42" s="60" t="inlineStr">
        <is>
          <t>Business Case C5:C10: enter currency, rates and non-labour caps. Recovery cost appears in Report. Full cost includes recovery once; reserve is separate. Blank inputs mean not quantified.</t>
        </is>
      </c>
    </row>
    <row r="43" ht="24" customHeight="1"/>
    <row r="44" ht="24" customHeight="1">
      <c r="A44" s="9" t="inlineStr">
        <is>
          <t>Practical value</t>
        </is>
      </c>
      <c r="B44" s="60" t="inlineStr">
        <is>
          <t>Business Case C25:C30: enter comparable hours, incremental setup, period maintenance, expected future integrations and evidence. Break-even and net effort are forecasts, not cash savings or measured adoption.</t>
        </is>
      </c>
    </row>
    <row r="45" ht="24" customHeight="1"/>
    <row r="46" ht="24" customHeight="1">
      <c r="A46" s="9" t="inlineStr">
        <is>
          <t>Save the approval</t>
        </is>
      </c>
      <c r="B46" s="60" t="inlineStr">
        <is>
          <t>Sponsor records the selected team, allocation, recovery cap, start and Gate A conditions. Save the approved workbook snapshot. Changing resources recalculates a proposal; it does not grant approval.</t>
        </is>
      </c>
    </row>
    <row r="47" ht="24"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row r="48" ht="24" customHeight="1">
      <c r="A48" s="9" t="inlineStr">
        <is>
          <t>Prior short DAR [P3]</t>
        </is>
      </c>
      <c r="B48" s="60" t="inlineStr">
        <is>
          <t>SDV_Vehicle_Status_DAR_Short_EN.md and SDV_Vehicle_Status_Plan.xlsx (v1.1): prior scope, six test groups and dynamic forecast. The current approval report adds management examples and an optional cost/value model.</t>
        </is>
      </c>
    </row>
    <row r="49" ht="24" customHeight="1"/>
  </sheetData>
  <mergeCells count="25">
    <mergeCell ref="A41:F41"/>
    <mergeCell ref="B34:F35"/>
    <mergeCell ref="B10:F11"/>
    <mergeCell ref="B44:F45"/>
    <mergeCell ref="B6:F7"/>
    <mergeCell ref="A3:F3"/>
    <mergeCell ref="B24:F25"/>
    <mergeCell ref="B36:F37"/>
    <mergeCell ref="A5:F5"/>
    <mergeCell ref="B20:F21"/>
    <mergeCell ref="A1:F2"/>
    <mergeCell ref="A17:F17"/>
    <mergeCell ref="B32:F33"/>
    <mergeCell ref="B30:F31"/>
    <mergeCell ref="A29:F29"/>
    <mergeCell ref="B22:F23"/>
    <mergeCell ref="B26:F27"/>
    <mergeCell ref="B18:F19"/>
    <mergeCell ref="B12:F13"/>
    <mergeCell ref="B8:F9"/>
    <mergeCell ref="B46:F47"/>
    <mergeCell ref="B42:F43"/>
    <mergeCell ref="B38:F39"/>
    <mergeCell ref="B14:F15"/>
    <mergeCell ref="B48:F49"/>
  </mergeCells>
  <printOptions horizontalCentered="1"/>
  <pageMargins left="0.3" right="0.3"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Engineering Planning</dc:creator>
  <dc:title xmlns:dc="http://purl.org/dc/elements/1.1/">SDV Vehicle Status - Resource-driven plan</dc:title>
  <dc:description xmlns:dc="http://purl.org/dc/elements/1.1/">Version 1.1. Proposal, not approved delivery dates or completed acceptance evidence.</dc:description>
  <dc:subject xmlns:dc="http://purl.org/dc/elements/1.1/">Short DAR companion; editable team and formula-based forecast</dc:subject>
  <dcterms:created xmlns:dcterms="http://purl.org/dc/terms/" xmlns:xsi="http://www.w3.org/2001/XMLSchema-instance" xsi:type="dcterms:W3CDTF">2026-09-08T11:35:25Z</dcterms:created>
  <dcterms:modified xmlns:dcterms="http://purl.org/dc/terms/" xmlns:xsi="http://www.w3.org/2001/XMLSchema-instance" xsi:type="dcterms:W3CDTF">2026-09-08T12:09:02Z</dcterms:modified>
</cp:coreProperties>
</file>